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6FB2C1D7-1255-324E-AF63-F768277A9685}" xr6:coauthVersionLast="47" xr6:coauthVersionMax="47" xr10:uidLastSave="{00000000-0000-0000-0000-000000000000}"/>
  <bookViews>
    <workbookView xWindow="820" yWindow="760" windowWidth="28040" windowHeight="17440" firstSheet="1" activeTab="10" xr2:uid="{DF4F92A6-20E3-EE45-90FC-379CFA5581C4}"/>
  </bookViews>
  <sheets>
    <sheet name="Sheet1" sheetId="1" r:id="rId1"/>
    <sheet name="Sheet2" sheetId="2" r:id="rId2"/>
    <sheet name="Sheet3" sheetId="3" r:id="rId3"/>
    <sheet name="reported" sheetId="4" r:id="rId4"/>
    <sheet name="officer" sheetId="13" r:id="rId5"/>
    <sheet name="officer_2" sheetId="15" r:id="rId6"/>
    <sheet name="Sheet5" sheetId="5" r:id="rId7"/>
    <sheet name="词频" sheetId="6" r:id="rId8"/>
    <sheet name="Sheet7" sheetId="7" r:id="rId9"/>
    <sheet name="Core Urban_ddjustedbyurbanland" sheetId="8" r:id="rId10"/>
    <sheet name="Core Urban" sheetId="11" r:id="rId11"/>
    <sheet name="建成度" sheetId="10" r:id="rId12"/>
    <sheet name="Sheet9" sheetId="9" r:id="rId13"/>
    <sheet name="soil" sheetId="12" r:id="rId14"/>
  </sheets>
  <definedNames>
    <definedName name="_xlnm._FilterDatabase" localSheetId="10" hidden="1">'Core Urban'!$A$1:$D$99</definedName>
    <definedName name="_xlnm._FilterDatabase" localSheetId="9" hidden="1">'Core Urban_ddjustedbyurbanland'!$A$1:$D$97</definedName>
    <definedName name="_xlnm._FilterDatabase" localSheetId="4" hidden="1">officer!$A$1:$L$287</definedName>
    <definedName name="_xlnm._FilterDatabase" localSheetId="5" hidden="1">officer_2!$A$1:$N$287</definedName>
    <definedName name="_xlnm._FilterDatabase" localSheetId="6" hidden="1">Sheet5!$A$1:$B$93</definedName>
    <definedName name="_xlnm._FilterDatabase" localSheetId="13" hidden="1">soil!$A$1:$E$56</definedName>
    <definedName name="OLE_LINK1" localSheetId="0">Sheet1!$I$22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3" i="15" l="1"/>
  <c r="N81" i="15"/>
  <c r="N79" i="15"/>
  <c r="N85" i="15"/>
  <c r="M146" i="15"/>
  <c r="N146" i="15"/>
  <c r="M2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5" i="15"/>
  <c r="N97" i="15"/>
  <c r="M97" i="15"/>
  <c r="N45" i="15"/>
  <c r="N39" i="15"/>
  <c r="N21" i="15"/>
  <c r="M227" i="15"/>
  <c r="N227" i="15"/>
  <c r="M209" i="15"/>
  <c r="N209" i="15"/>
  <c r="M237" i="15"/>
  <c r="N237" i="15"/>
  <c r="M239" i="15"/>
  <c r="N239" i="15"/>
  <c r="M263" i="15"/>
  <c r="M251" i="15"/>
  <c r="N251" i="15"/>
  <c r="M175" i="15"/>
  <c r="N175" i="15"/>
  <c r="N173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40" i="15"/>
  <c r="N41" i="15"/>
  <c r="N42" i="15"/>
  <c r="N43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80" i="15"/>
  <c r="N82" i="15"/>
  <c r="N84" i="15"/>
  <c r="N86" i="15"/>
  <c r="N87" i="15"/>
  <c r="N89" i="15"/>
  <c r="N90" i="15"/>
  <c r="N91" i="15"/>
  <c r="N92" i="15"/>
  <c r="N93" i="15"/>
  <c r="N94" i="15"/>
  <c r="N95" i="15"/>
  <c r="N96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7" i="15"/>
  <c r="N148" i="15"/>
  <c r="N149" i="15"/>
  <c r="N150" i="15"/>
  <c r="N151" i="15"/>
  <c r="N152" i="15"/>
  <c r="N153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4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9" i="15"/>
  <c r="N200" i="15"/>
  <c r="N201" i="15"/>
  <c r="N202" i="15"/>
  <c r="N203" i="15"/>
  <c r="N204" i="15"/>
  <c r="N205" i="15"/>
  <c r="N206" i="15"/>
  <c r="N207" i="15"/>
  <c r="N208" i="15"/>
  <c r="N210" i="15"/>
  <c r="N211" i="15"/>
  <c r="N212" i="15"/>
  <c r="N213" i="15"/>
  <c r="N214" i="15"/>
  <c r="N215" i="15"/>
  <c r="N216" i="15"/>
  <c r="N217" i="15"/>
  <c r="N218" i="15"/>
  <c r="N219" i="15"/>
  <c r="N221" i="15"/>
  <c r="N222" i="15"/>
  <c r="N223" i="15"/>
  <c r="N224" i="15"/>
  <c r="N225" i="15"/>
  <c r="N226" i="15"/>
  <c r="N228" i="15"/>
  <c r="N229" i="15"/>
  <c r="N230" i="15"/>
  <c r="N231" i="15"/>
  <c r="N232" i="15"/>
  <c r="N233" i="15"/>
  <c r="N234" i="15"/>
  <c r="N235" i="15"/>
  <c r="N236" i="15"/>
  <c r="N238" i="15"/>
  <c r="N240" i="15"/>
  <c r="N241" i="15"/>
  <c r="N243" i="15"/>
  <c r="N244" i="15"/>
  <c r="N245" i="15"/>
  <c r="N246" i="15"/>
  <c r="N247" i="15"/>
  <c r="N248" i="15"/>
  <c r="N249" i="15"/>
  <c r="N250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2" i="15"/>
  <c r="M84" i="15"/>
  <c r="M85" i="15"/>
  <c r="M86" i="15"/>
  <c r="M87" i="15"/>
  <c r="M89" i="15"/>
  <c r="M90" i="15"/>
  <c r="M91" i="15"/>
  <c r="M92" i="15"/>
  <c r="M93" i="15"/>
  <c r="M94" i="15"/>
  <c r="M95" i="15"/>
  <c r="M96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7" i="15"/>
  <c r="M148" i="15"/>
  <c r="M149" i="15"/>
  <c r="M150" i="15"/>
  <c r="M151" i="15"/>
  <c r="M152" i="15"/>
  <c r="M153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9" i="15"/>
  <c r="M200" i="15"/>
  <c r="M201" i="15"/>
  <c r="M202" i="15"/>
  <c r="M203" i="15"/>
  <c r="M204" i="15"/>
  <c r="M205" i="15"/>
  <c r="M206" i="15"/>
  <c r="M207" i="15"/>
  <c r="M208" i="15"/>
  <c r="M210" i="15"/>
  <c r="M211" i="15"/>
  <c r="M212" i="15"/>
  <c r="M213" i="15"/>
  <c r="M214" i="15"/>
  <c r="M215" i="15"/>
  <c r="M216" i="15"/>
  <c r="M217" i="15"/>
  <c r="M218" i="15"/>
  <c r="M219" i="15"/>
  <c r="M221" i="15"/>
  <c r="M222" i="15"/>
  <c r="M223" i="15"/>
  <c r="M224" i="15"/>
  <c r="M225" i="15"/>
  <c r="M226" i="15"/>
  <c r="M228" i="15"/>
  <c r="M229" i="15"/>
  <c r="M230" i="15"/>
  <c r="M231" i="15"/>
  <c r="M232" i="15"/>
  <c r="M233" i="15"/>
  <c r="M234" i="15"/>
  <c r="M235" i="15"/>
  <c r="M236" i="15"/>
  <c r="M238" i="15"/>
  <c r="M240" i="15"/>
  <c r="M241" i="15"/>
  <c r="M243" i="15"/>
  <c r="M244" i="15"/>
  <c r="M245" i="15"/>
  <c r="M246" i="15"/>
  <c r="M247" i="15"/>
  <c r="M248" i="15"/>
  <c r="M249" i="15"/>
  <c r="M250" i="15"/>
  <c r="M252" i="15"/>
  <c r="M253" i="15"/>
  <c r="M254" i="15"/>
  <c r="M255" i="15"/>
  <c r="M256" i="15"/>
  <c r="M257" i="15"/>
  <c r="M258" i="15"/>
  <c r="M259" i="15"/>
  <c r="M260" i="15"/>
  <c r="M261" i="15"/>
  <c r="M262" i="15"/>
  <c r="M265" i="15"/>
  <c r="M266" i="15"/>
  <c r="M267" i="15"/>
  <c r="M268" i="15"/>
  <c r="M269" i="15"/>
  <c r="M270" i="15"/>
  <c r="M271" i="15"/>
  <c r="M272" i="15"/>
  <c r="M273" i="15"/>
  <c r="M274" i="15"/>
  <c r="M275" i="15"/>
  <c r="M276" i="15"/>
  <c r="M277" i="15"/>
  <c r="M278" i="15"/>
  <c r="M279" i="15"/>
  <c r="M280" i="15"/>
  <c r="M281" i="15"/>
  <c r="M282" i="15"/>
  <c r="M283" i="15"/>
  <c r="M284" i="15"/>
  <c r="M285" i="15"/>
  <c r="M286" i="15"/>
  <c r="M287" i="15"/>
  <c r="I3" i="6"/>
  <c r="N3" i="1"/>
  <c r="O4" i="1"/>
  <c r="O5" i="1"/>
  <c r="O6" i="1"/>
  <c r="O7" i="1"/>
  <c r="O8" i="1"/>
  <c r="O9" i="1"/>
  <c r="O10" i="1"/>
  <c r="O11" i="1"/>
  <c r="O12" i="1"/>
  <c r="O13" i="1"/>
  <c r="O14" i="1"/>
  <c r="O15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L4" i="1"/>
  <c r="I4" i="6"/>
  <c r="I6" i="6"/>
  <c r="I7" i="6"/>
  <c r="I8" i="6"/>
  <c r="I9" i="6"/>
  <c r="I10" i="6"/>
  <c r="I11" i="6"/>
  <c r="I12" i="6"/>
  <c r="I13" i="6"/>
  <c r="I14" i="6"/>
  <c r="I15" i="6"/>
  <c r="G15" i="6"/>
  <c r="L3" i="1"/>
  <c r="K3" i="1"/>
  <c r="G4" i="6"/>
  <c r="G6" i="6"/>
  <c r="G7" i="6"/>
  <c r="G8" i="6"/>
  <c r="G9" i="6"/>
  <c r="G10" i="6"/>
  <c r="G11" i="6"/>
  <c r="G12" i="6"/>
  <c r="G13" i="6"/>
  <c r="G14" i="6"/>
  <c r="G3" i="6"/>
  <c r="D13" i="6"/>
  <c r="D4" i="6"/>
  <c r="D6" i="6"/>
  <c r="D7" i="6"/>
  <c r="D8" i="6"/>
  <c r="D9" i="6"/>
  <c r="D10" i="6"/>
  <c r="D11" i="6"/>
  <c r="D12" i="6"/>
  <c r="D14" i="6"/>
  <c r="D15" i="6"/>
  <c r="D3" i="6"/>
  <c r="L6" i="1"/>
  <c r="L7" i="1"/>
  <c r="L8" i="1"/>
  <c r="L9" i="1"/>
  <c r="L10" i="1"/>
  <c r="L11" i="1"/>
  <c r="L12" i="1"/>
  <c r="L13" i="1"/>
  <c r="L14" i="1"/>
  <c r="L15" i="1"/>
  <c r="K4" i="1"/>
  <c r="K6" i="1"/>
  <c r="K7" i="1"/>
  <c r="K8" i="1"/>
  <c r="K9" i="1"/>
  <c r="K10" i="1"/>
  <c r="K11" i="1"/>
  <c r="K12" i="1"/>
  <c r="K13" i="1"/>
  <c r="K14" i="1"/>
  <c r="K15" i="1"/>
</calcChain>
</file>

<file path=xl/sharedStrings.xml><?xml version="1.0" encoding="utf-8"?>
<sst xmlns="http://schemas.openxmlformats.org/spreadsheetml/2006/main" count="5463" uniqueCount="446">
  <si>
    <t>南京市</t>
  </si>
  <si>
    <t>Nm_Prfc</t>
  </si>
  <si>
    <t>南通市</t>
  </si>
  <si>
    <t>宿迁市</t>
  </si>
  <si>
    <t>常州市</t>
  </si>
  <si>
    <t>徐州市</t>
  </si>
  <si>
    <t>扬州市</t>
  </si>
  <si>
    <t>无锡市</t>
  </si>
  <si>
    <t>泰州市</t>
  </si>
  <si>
    <t>淮安市</t>
  </si>
  <si>
    <t>盐城市</t>
  </si>
  <si>
    <t>苏州市</t>
  </si>
  <si>
    <t>连云港市</t>
  </si>
  <si>
    <t>镇江市</t>
  </si>
  <si>
    <t>以下数据来自于各市的2017土地利用总体规划调整方案（单位：公顷Hectare)</t>
  </si>
  <si>
    <t>Actual_Designated_Area</t>
  </si>
  <si>
    <t>Farmland_protect_Area</t>
  </si>
  <si>
    <t>Farmland_protect_Area_Urban</t>
  </si>
  <si>
    <t>此处的urban指中心城区，调整方案复函中有写哪些是中心城区（南京也只有一部分是中心城区）</t>
  </si>
  <si>
    <t>宿迁，淮安，盐城，连云港未在江苏政府网上找到复函。</t>
  </si>
  <si>
    <r>
      <t>调整后的</t>
    </r>
    <r>
      <rPr>
        <sz val="21"/>
        <color rgb="FF333333"/>
        <rFont val="微软雅黑"/>
        <family val="2"/>
        <charset val="134"/>
      </rPr>
      <t>2020</t>
    </r>
    <r>
      <rPr>
        <sz val="16"/>
        <color rgb="FF333333"/>
        <rFont val="微软雅黑"/>
        <family val="2"/>
        <charset val="134"/>
      </rPr>
      <t>年土地利用主要指标</t>
    </r>
  </si>
  <si>
    <r>
      <t>地</t>
    </r>
    <r>
      <rPr>
        <sz val="13"/>
        <color rgb="FF000000"/>
        <rFont val="微软雅黑"/>
        <family val="2"/>
        <charset val="134"/>
      </rPr>
      <t>  </t>
    </r>
    <r>
      <rPr>
        <sz val="10"/>
        <color rgb="FF000000"/>
        <rFont val="黑体"/>
        <charset val="134"/>
      </rPr>
      <t>区</t>
    </r>
  </si>
  <si>
    <t>耕地保有量</t>
  </si>
  <si>
    <t>基本农田保护面积</t>
  </si>
  <si>
    <t>建设用地总规模</t>
  </si>
  <si>
    <t>万公顷</t>
  </si>
  <si>
    <t>万亩</t>
  </si>
  <si>
    <r>
      <t>全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国</t>
    </r>
  </si>
  <si>
    <r>
      <t>北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京</t>
    </r>
  </si>
  <si>
    <r>
      <t>天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津</t>
    </r>
  </si>
  <si>
    <r>
      <t>河</t>
    </r>
    <r>
      <rPr>
        <sz val="10"/>
        <color theme="1"/>
        <rFont val="微软雅黑"/>
        <family val="2"/>
        <charset val="134"/>
      </rPr>
      <t> </t>
    </r>
    <r>
      <rPr>
        <sz val="13"/>
        <color theme="1"/>
        <rFont val="微软雅黑"/>
        <family val="2"/>
        <charset val="134"/>
      </rPr>
      <t> </t>
    </r>
    <r>
      <rPr>
        <sz val="10"/>
        <color theme="1"/>
        <rFont val="宋体"/>
        <charset val="134"/>
      </rPr>
      <t>北</t>
    </r>
  </si>
  <si>
    <r>
      <t>山</t>
    </r>
    <r>
      <rPr>
        <sz val="10"/>
        <color theme="1"/>
        <rFont val="微软雅黑"/>
        <family val="2"/>
        <charset val="134"/>
      </rPr>
      <t> </t>
    </r>
    <r>
      <rPr>
        <sz val="13"/>
        <color theme="1"/>
        <rFont val="微软雅黑"/>
        <family val="2"/>
        <charset val="134"/>
      </rPr>
      <t> </t>
    </r>
    <r>
      <rPr>
        <sz val="10"/>
        <color theme="1"/>
        <rFont val="宋体"/>
        <charset val="134"/>
      </rPr>
      <t>西</t>
    </r>
  </si>
  <si>
    <t>内蒙古</t>
  </si>
  <si>
    <r>
      <t>辽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宁</t>
    </r>
  </si>
  <si>
    <r>
      <t>吉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林</t>
    </r>
  </si>
  <si>
    <t>黑龙江</t>
  </si>
  <si>
    <r>
      <t>上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海</t>
    </r>
  </si>
  <si>
    <r>
      <t>江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苏</t>
    </r>
  </si>
  <si>
    <r>
      <t>浙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江</t>
    </r>
  </si>
  <si>
    <r>
      <t>安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徽</t>
    </r>
  </si>
  <si>
    <r>
      <t>福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建</t>
    </r>
  </si>
  <si>
    <r>
      <t>江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西</t>
    </r>
  </si>
  <si>
    <r>
      <t>山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东</t>
    </r>
  </si>
  <si>
    <r>
      <t>河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南</t>
    </r>
  </si>
  <si>
    <r>
      <t>湖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北</t>
    </r>
  </si>
  <si>
    <r>
      <t>湖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南</t>
    </r>
  </si>
  <si>
    <r>
      <t>广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东</t>
    </r>
  </si>
  <si>
    <r>
      <t>广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西</t>
    </r>
  </si>
  <si>
    <r>
      <t>海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南</t>
    </r>
  </si>
  <si>
    <r>
      <t>重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庆</t>
    </r>
  </si>
  <si>
    <r>
      <t>四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川</t>
    </r>
  </si>
  <si>
    <r>
      <t>贵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州</t>
    </r>
  </si>
  <si>
    <r>
      <t>云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南</t>
    </r>
  </si>
  <si>
    <r>
      <t>西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藏</t>
    </r>
  </si>
  <si>
    <r>
      <t>陕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西</t>
    </r>
  </si>
  <si>
    <r>
      <t>甘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肃</t>
    </r>
  </si>
  <si>
    <r>
      <t>青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海</t>
    </r>
  </si>
  <si>
    <r>
      <t>宁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夏</t>
    </r>
  </si>
  <si>
    <r>
      <t>新</t>
    </r>
    <r>
      <rPr>
        <sz val="13"/>
        <color theme="1"/>
        <rFont val="微软雅黑"/>
        <family val="2"/>
        <charset val="134"/>
      </rPr>
      <t>  </t>
    </r>
    <r>
      <rPr>
        <sz val="10"/>
        <color theme="1"/>
        <rFont val="宋体"/>
        <charset val="134"/>
      </rPr>
      <t>疆</t>
    </r>
  </si>
  <si>
    <t>source (2016): https://zrzy.jiangsu.gov.cn/gtapp/nrglIndex.action?catalogID=2c9082b55a1cd4dd015a1d45bf940051&amp;type=2&amp;messageID=2c9082b55a3b85c2015a3bc8c6cb010d</t>
  </si>
  <si>
    <t>连云港数据来自于连云港市土地利用总体规划（2006-2020年）调整方案</t>
  </si>
  <si>
    <t>Tt_Farmland_index</t>
  </si>
  <si>
    <t>Farmland_Index_urban</t>
  </si>
  <si>
    <t>Farmland_2014_basic</t>
  </si>
  <si>
    <t>Farmland_Actual_2014_basic</t>
  </si>
  <si>
    <t>红字表示不确定是否来源正确</t>
  </si>
  <si>
    <t>实际保有量2014</t>
  </si>
  <si>
    <t>实际基本农田保护面积2014</t>
  </si>
  <si>
    <t>实有耕地</t>
  </si>
  <si>
    <t>gap_耕地保有量</t>
  </si>
  <si>
    <t>蓝字表示该数值为表3中基本农田保护面积(面积）的总值</t>
  </si>
  <si>
    <t>gap_基本农田保护面积</t>
  </si>
  <si>
    <t>实际划定面积（蓝色数值）</t>
  </si>
  <si>
    <t>Desiganted_Farmland</t>
  </si>
  <si>
    <t>Designated_Farmland</t>
  </si>
  <si>
    <t>基本农田面积相比原计划的增减</t>
  </si>
  <si>
    <t>Nm_Cnty</t>
  </si>
  <si>
    <t>赣榆区</t>
  </si>
  <si>
    <t>东海县</t>
  </si>
  <si>
    <t>灌云县</t>
  </si>
  <si>
    <t>灌南县</t>
  </si>
  <si>
    <t>海州区</t>
  </si>
  <si>
    <t>连云区</t>
  </si>
  <si>
    <t>清江浦区</t>
  </si>
  <si>
    <t>淮阴区</t>
  </si>
  <si>
    <t>淮安区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</si>
  <si>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</si>
  <si>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</si>
  <si>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</si>
  <si>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</si>
  <si>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</si>
  <si>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</si>
  <si>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</si>
  <si>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</si>
  <si>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</si>
  <si>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</si>
  <si>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</si>
  <si>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</si>
  <si>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</si>
  <si>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玄武区</t>
  </si>
  <si>
    <t>秦淮区</t>
  </si>
  <si>
    <t>建邺区</t>
  </si>
  <si>
    <t>鼓楼区</t>
  </si>
  <si>
    <t>四城区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</si>
  <si>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</si>
  <si>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</si>
  <si>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</si>
  <si>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</si>
  <si>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</si>
  <si>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</si>
  <si>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</si>
  <si>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 xml:space="preserve">天宁区 </t>
  </si>
  <si>
    <t xml:space="preserve">钟楼区 </t>
  </si>
  <si>
    <t xml:space="preserve">新北区 </t>
  </si>
  <si>
    <t xml:space="preserve">武进区 </t>
  </si>
  <si>
    <t xml:space="preserve">金坛区 </t>
  </si>
  <si>
    <t xml:space="preserve">溧阳市 </t>
  </si>
  <si>
    <t xml:space="preserve">梁溪区 </t>
  </si>
  <si>
    <t xml:space="preserve">锡山区 </t>
  </si>
  <si>
    <t xml:space="preserve">惠山区 </t>
  </si>
  <si>
    <t xml:space="preserve">滨湖区 </t>
  </si>
  <si>
    <t xml:space="preserve">新吴区 </t>
  </si>
  <si>
    <t>张家港市</t>
  </si>
  <si>
    <t>常熟市</t>
  </si>
  <si>
    <t>太仓市</t>
  </si>
  <si>
    <t>昆山市</t>
  </si>
  <si>
    <t>吴江区</t>
  </si>
  <si>
    <t>吴中区</t>
  </si>
  <si>
    <t>相城区</t>
  </si>
  <si>
    <t>姑苏区</t>
  </si>
  <si>
    <t>京口区</t>
  </si>
  <si>
    <t>润州区</t>
  </si>
  <si>
    <t>丹徒区</t>
  </si>
  <si>
    <t>丹阳市</t>
  </si>
  <si>
    <t>扬中市</t>
  </si>
  <si>
    <t>句容市</t>
  </si>
  <si>
    <t xml:space="preserve">崇川区 </t>
  </si>
  <si>
    <t xml:space="preserve">港闸区 </t>
  </si>
  <si>
    <t xml:space="preserve">如东县 </t>
  </si>
  <si>
    <t xml:space="preserve">启东市 </t>
  </si>
  <si>
    <t xml:space="preserve">如皋市 </t>
  </si>
  <si>
    <t xml:space="preserve">通州区 </t>
  </si>
  <si>
    <t xml:space="preserve">海门市 </t>
  </si>
  <si>
    <t xml:space="preserve">丰县 </t>
  </si>
  <si>
    <t xml:space="preserve">沛县 </t>
  </si>
  <si>
    <t xml:space="preserve">睢宁县 </t>
  </si>
  <si>
    <t xml:space="preserve">邳州市 </t>
  </si>
  <si>
    <t xml:space="preserve">新沂市 </t>
  </si>
  <si>
    <t xml:space="preserve">铜山区 </t>
  </si>
  <si>
    <t xml:space="preserve">贾汪区 </t>
  </si>
  <si>
    <t xml:space="preserve">广陵区 </t>
  </si>
  <si>
    <t xml:space="preserve">邗江区 </t>
  </si>
  <si>
    <t xml:space="preserve">仪征市 </t>
  </si>
  <si>
    <t xml:space="preserve">高邮市 </t>
  </si>
  <si>
    <t xml:space="preserve">江都区 </t>
  </si>
  <si>
    <t xml:space="preserve">宝应县 </t>
  </si>
  <si>
    <t xml:space="preserve">海陵区 </t>
  </si>
  <si>
    <t xml:space="preserve">高港区 </t>
  </si>
  <si>
    <t xml:space="preserve">兴化市 </t>
  </si>
  <si>
    <t xml:space="preserve">靖江市 </t>
  </si>
  <si>
    <t xml:space="preserve">泰兴市 </t>
  </si>
  <si>
    <t xml:space="preserve">姜堰区 </t>
  </si>
  <si>
    <t>海安市</t>
  </si>
  <si>
    <t>泉山区</t>
  </si>
  <si>
    <t>云龙区</t>
  </si>
  <si>
    <t>宜兴市</t>
  </si>
  <si>
    <t>江阴市</t>
  </si>
  <si>
    <t>虎丘区</t>
  </si>
  <si>
    <t>矛盾/冲突</t>
  </si>
  <si>
    <t>耕地/土地/规划用地+压力</t>
  </si>
  <si>
    <t>City</t>
  </si>
  <si>
    <t>按句子进行统计</t>
  </si>
  <si>
    <t>调整值</t>
  </si>
  <si>
    <t>比率</t>
  </si>
  <si>
    <t>原计划指标</t>
  </si>
  <si>
    <t>(2014面积-原计划指标)gap/2014</t>
  </si>
  <si>
    <t>mentionedpressure_freq</t>
  </si>
  <si>
    <t>quotacut</t>
  </si>
  <si>
    <t>Core</t>
  </si>
  <si>
    <t>Reclaimed_Land_Core</t>
  </si>
  <si>
    <t>区县</t>
  </si>
  <si>
    <t>土地整治补充耕地义务</t>
  </si>
  <si>
    <t>丹徒区（含镇江新区）</t>
  </si>
  <si>
    <t>宿城区</t>
  </si>
  <si>
    <t>宿豫区</t>
  </si>
  <si>
    <t>泗洪县</t>
  </si>
  <si>
    <t>泗阳县</t>
  </si>
  <si>
    <t>沭阳县</t>
  </si>
  <si>
    <t>GlobeLand30（GLC30）2010</t>
  </si>
  <si>
    <t>中华人民共和国自然资源部/国测局</t>
  </si>
  <si>
    <t>县区</t>
  </si>
  <si>
    <t>建设用地面积 km²</t>
  </si>
  <si>
    <t>建成度（%）</t>
  </si>
  <si>
    <t>城市</t>
  </si>
  <si>
    <t>崇川区</t>
  </si>
  <si>
    <t>港闸区</t>
  </si>
  <si>
    <t>如东县</t>
  </si>
  <si>
    <t>启东市</t>
  </si>
  <si>
    <t>如皋市</t>
  </si>
  <si>
    <t>通州区</t>
  </si>
  <si>
    <t>海门市</t>
  </si>
  <si>
    <t>天宁区</t>
  </si>
  <si>
    <t>钟楼区</t>
  </si>
  <si>
    <t>新北区</t>
  </si>
  <si>
    <t>武进区</t>
  </si>
  <si>
    <t>金坛区</t>
  </si>
  <si>
    <t>溧阳市</t>
  </si>
  <si>
    <t>丰县</t>
  </si>
  <si>
    <t>沛县</t>
  </si>
  <si>
    <t>睢宁县</t>
  </si>
  <si>
    <t>邳州市</t>
  </si>
  <si>
    <t>新沂市</t>
  </si>
  <si>
    <t>铜山区</t>
  </si>
  <si>
    <t>贾汪区</t>
  </si>
  <si>
    <t>广陵区</t>
  </si>
  <si>
    <t>邗江区</t>
  </si>
  <si>
    <t>仪征市</t>
  </si>
  <si>
    <t>高邮市</t>
  </si>
  <si>
    <t>江都区</t>
  </si>
  <si>
    <t>宝应县</t>
  </si>
  <si>
    <t>梁溪区</t>
  </si>
  <si>
    <t>锡山区</t>
  </si>
  <si>
    <t>惠山区</t>
  </si>
  <si>
    <t>滨湖区</t>
  </si>
  <si>
    <t>新吴区</t>
  </si>
  <si>
    <t>海陵区</t>
  </si>
  <si>
    <t>高港区</t>
  </si>
  <si>
    <t>兴化市</t>
  </si>
  <si>
    <t>靖江市</t>
  </si>
  <si>
    <t>泰兴市</t>
  </si>
  <si>
    <t>姜堰区</t>
  </si>
  <si>
    <t>土类</t>
  </si>
  <si>
    <t>潮土</t>
  </si>
  <si>
    <t>水稻土</t>
  </si>
  <si>
    <t>初育土</t>
  </si>
  <si>
    <t>黄棕壤</t>
  </si>
  <si>
    <t>半水成土</t>
  </si>
  <si>
    <t>红壤</t>
  </si>
  <si>
    <t>铁铝土</t>
  </si>
  <si>
    <t>盐碱土</t>
  </si>
  <si>
    <t>滨海盐土</t>
  </si>
  <si>
    <t>人为土</t>
  </si>
  <si>
    <t>土纲</t>
  </si>
  <si>
    <t>亚类</t>
  </si>
  <si>
    <t>棕壤</t>
  </si>
  <si>
    <t>暗棕壤</t>
  </si>
  <si>
    <t>沼泽土</t>
  </si>
  <si>
    <t>湖泊、水库</t>
  </si>
  <si>
    <t>新积土</t>
  </si>
  <si>
    <t>褐土</t>
  </si>
  <si>
    <t>粗骨土</t>
  </si>
  <si>
    <t>石灰（岩）土</t>
  </si>
  <si>
    <t>黄褐土</t>
  </si>
  <si>
    <t>寒钙土</t>
  </si>
  <si>
    <t>紫色土</t>
  </si>
  <si>
    <t>江河内沙洲、岛屿</t>
  </si>
  <si>
    <t>赤红壤</t>
  </si>
  <si>
    <t>城区</t>
  </si>
  <si>
    <t>江、河</t>
  </si>
  <si>
    <t>火山灰土</t>
  </si>
  <si>
    <t>石质土</t>
  </si>
  <si>
    <t>珊瑚礁、海岛屿</t>
  </si>
  <si>
    <t>红粘土</t>
  </si>
  <si>
    <t>黑钙土</t>
  </si>
  <si>
    <t>砂姜黑土</t>
  </si>
  <si>
    <t>淋溶土</t>
  </si>
  <si>
    <t>水成土</t>
  </si>
  <si>
    <t>半淋溶土</t>
  </si>
  <si>
    <t>高山土</t>
  </si>
  <si>
    <t>钙层土</t>
  </si>
  <si>
    <t>棕壤性土</t>
  </si>
  <si>
    <t>暗黄棕壤</t>
  </si>
  <si>
    <t>冲积土</t>
  </si>
  <si>
    <t>淋溶褐土</t>
  </si>
  <si>
    <t>中兴粗骨土</t>
  </si>
  <si>
    <t>棕色石灰土</t>
  </si>
  <si>
    <t>脱潮土</t>
  </si>
  <si>
    <t>黄棕壤性土</t>
  </si>
  <si>
    <t>黄红壤</t>
  </si>
  <si>
    <t>暗含钙土</t>
  </si>
  <si>
    <t>中性紫色土</t>
  </si>
  <si>
    <t>淹育水稻土</t>
  </si>
  <si>
    <t>潮棕壤</t>
  </si>
  <si>
    <t>渗育水稻土</t>
  </si>
  <si>
    <t>潴育水稻土</t>
  </si>
  <si>
    <t>钙质粗骨土</t>
  </si>
  <si>
    <t>灰潮土</t>
  </si>
  <si>
    <t>红壤性土</t>
  </si>
  <si>
    <t>棕红壤</t>
  </si>
  <si>
    <t>酸性脆骨土</t>
  </si>
  <si>
    <t>潜育水稻土</t>
  </si>
  <si>
    <t>脱潜水稻土</t>
  </si>
  <si>
    <t>漂洗水稻土</t>
  </si>
  <si>
    <t>粘盘黄褐土</t>
  </si>
  <si>
    <t>基性岩火山灰土</t>
  </si>
  <si>
    <t>酸性石质土</t>
  </si>
  <si>
    <t>湿潮土</t>
  </si>
  <si>
    <t>盐渍水稻土</t>
  </si>
  <si>
    <t>滨海沼泽盐土</t>
  </si>
  <si>
    <t>白浆化棕壤</t>
  </si>
  <si>
    <t>淋溶黑钙土</t>
  </si>
  <si>
    <t>盐化潮土</t>
  </si>
  <si>
    <t>中性石质土</t>
  </si>
  <si>
    <t>暗棕壤性土</t>
  </si>
  <si>
    <t>潮褐土</t>
  </si>
  <si>
    <t>碱化潮土</t>
  </si>
  <si>
    <t>value</t>
  </si>
  <si>
    <t>Score</t>
  </si>
  <si>
    <t>Reported_Farmland</t>
  </si>
  <si>
    <t>Year</t>
  </si>
  <si>
    <t>姓名</t>
  </si>
  <si>
    <t>任期开始年份</t>
  </si>
  <si>
    <t>任期结束年份</t>
  </si>
  <si>
    <t>职位名称</t>
  </si>
  <si>
    <t>性别</t>
  </si>
  <si>
    <t>出生年份</t>
  </si>
  <si>
    <t>出生地</t>
  </si>
  <si>
    <t>学历</t>
  </si>
  <si>
    <t>继任者姓名</t>
  </si>
  <si>
    <t>继任者出生地</t>
  </si>
  <si>
    <t>市委书记</t>
  </si>
  <si>
    <t>市长</t>
  </si>
  <si>
    <t>季建业</t>
  </si>
  <si>
    <t>男</t>
  </si>
  <si>
    <t>江苏省苏州市</t>
  </si>
  <si>
    <t>研究生</t>
  </si>
  <si>
    <t>缪瑞林</t>
  </si>
  <si>
    <t>江苏省南通市</t>
  </si>
  <si>
    <t>杨卫泽</t>
  </si>
  <si>
    <t>江苏省常州市</t>
  </si>
  <si>
    <t>黄莉新</t>
  </si>
  <si>
    <t>江苏省宿迁市</t>
  </si>
  <si>
    <t>江苏省南京市</t>
  </si>
  <si>
    <t>蓝绍敏</t>
  </si>
  <si>
    <t>广东省梅州市</t>
  </si>
  <si>
    <t>女</t>
  </si>
  <si>
    <t>吴政隆</t>
  </si>
  <si>
    <t>韩立明</t>
  </si>
  <si>
    <t>夏心旻</t>
  </si>
  <si>
    <t>江苏省盐城市</t>
  </si>
  <si>
    <t>本科</t>
  </si>
  <si>
    <t>张敬华</t>
  </si>
  <si>
    <t>江苏省泰州市</t>
  </si>
  <si>
    <t>张国华</t>
  </si>
  <si>
    <t>徐惠民</t>
  </si>
  <si>
    <t>王晖</t>
  </si>
  <si>
    <t>江苏省徐州市</t>
  </si>
  <si>
    <t>吴新明</t>
  </si>
  <si>
    <t>江苏苏州市</t>
  </si>
  <si>
    <t>丁大卫</t>
  </si>
  <si>
    <t>江苏省无锡市</t>
  </si>
  <si>
    <t>陆志鹏</t>
  </si>
  <si>
    <t>河南省洛阳市</t>
  </si>
  <si>
    <t>王昊</t>
  </si>
  <si>
    <t>至今</t>
  </si>
  <si>
    <t>安徽宿州市</t>
  </si>
  <si>
    <t>张爱军</t>
  </si>
  <si>
    <t>魏国强</t>
  </si>
  <si>
    <t>江苏省镇江市</t>
  </si>
  <si>
    <t>陈忠伟</t>
  </si>
  <si>
    <t>广东省潮州市</t>
  </si>
  <si>
    <t>安徽省宿州市</t>
  </si>
  <si>
    <t>王天琦</t>
  </si>
  <si>
    <t>陈金虎</t>
  </si>
  <si>
    <t>盛蕾</t>
  </si>
  <si>
    <t>丁纯</t>
  </si>
  <si>
    <t>费高云</t>
  </si>
  <si>
    <t>江苏省淮安市</t>
  </si>
  <si>
    <t>姚晓东</t>
  </si>
  <si>
    <t>齐家滨</t>
  </si>
  <si>
    <t>山东省济南市</t>
  </si>
  <si>
    <t>江苏镇江市</t>
  </si>
  <si>
    <t>汪泉</t>
  </si>
  <si>
    <t>安徽省黄山市</t>
  </si>
  <si>
    <t>阎立</t>
  </si>
  <si>
    <t>辽宁省本溪市</t>
  </si>
  <si>
    <t>曹新平</t>
  </si>
  <si>
    <t>周铁根</t>
  </si>
  <si>
    <t>庄兆林</t>
  </si>
  <si>
    <t>江苏省扬州市</t>
  </si>
  <si>
    <t>朱民</t>
  </si>
  <si>
    <t>王剑锋</t>
  </si>
  <si>
    <t>张宝娟</t>
  </si>
  <si>
    <t>王进健</t>
  </si>
  <si>
    <t>朱民阳</t>
  </si>
  <si>
    <t>谢正义</t>
  </si>
  <si>
    <t>黄钦</t>
  </si>
  <si>
    <t>杜小刚</t>
  </si>
  <si>
    <t>李小敏</t>
  </si>
  <si>
    <t>山东省烟台市</t>
  </si>
  <si>
    <t>赵建军</t>
  </si>
  <si>
    <t>山东菏泽市</t>
  </si>
  <si>
    <t>朱克江</t>
  </si>
  <si>
    <t>徐郭平</t>
  </si>
  <si>
    <t>史立军</t>
  </si>
  <si>
    <t>黑龙江省绥化市</t>
  </si>
  <si>
    <t>朱立凡</t>
  </si>
  <si>
    <t>万闻华</t>
  </si>
  <si>
    <t>江苏南通市</t>
  </si>
  <si>
    <t>曲福田</t>
  </si>
  <si>
    <t>惠建林</t>
  </si>
  <si>
    <t>蔡丽新</t>
  </si>
  <si>
    <t>陈之常</t>
  </si>
  <si>
    <t>四川省达州市</t>
  </si>
  <si>
    <t>史志军</t>
  </si>
  <si>
    <t>江苏常州市</t>
  </si>
  <si>
    <t>张雷</t>
  </si>
  <si>
    <t>刘永忠</t>
  </si>
  <si>
    <t>四川达州市</t>
  </si>
  <si>
    <t>赵鹏</t>
  </si>
  <si>
    <t>王荣平</t>
  </si>
  <si>
    <t>戴源</t>
  </si>
  <si>
    <t>安徽省滁州市</t>
  </si>
  <si>
    <t>曹路宝</t>
  </si>
  <si>
    <t>安徽滁州市</t>
  </si>
  <si>
    <t>蒋宏坤</t>
  </si>
  <si>
    <t>石泰峰</t>
  </si>
  <si>
    <t>山西省晋中市</t>
  </si>
  <si>
    <t>周乃翔</t>
  </si>
  <si>
    <t>许昆林</t>
  </si>
  <si>
    <t>福建泉州市</t>
  </si>
  <si>
    <t>周斌</t>
  </si>
  <si>
    <t>江苏泰州市</t>
  </si>
  <si>
    <t>李亚平</t>
  </si>
  <si>
    <t>吴庆文</t>
  </si>
  <si>
    <t>山东济宁市</t>
  </si>
  <si>
    <t>朱晓明</t>
  </si>
  <si>
    <t>张叶飞</t>
  </si>
  <si>
    <t>徐曙海</t>
  </si>
  <si>
    <t>江苏宿迁市</t>
  </si>
  <si>
    <t>杨省世</t>
  </si>
  <si>
    <t>陕西省西安市</t>
  </si>
  <si>
    <t>赵晓江</t>
  </si>
  <si>
    <t>新疆维吾尔自治区乌鲁木齐市</t>
  </si>
  <si>
    <t>项雪龙</t>
  </si>
  <si>
    <t>方伟</t>
  </si>
  <si>
    <t>马士光</t>
  </si>
  <si>
    <t>江苏徐州市</t>
  </si>
  <si>
    <t>夏锦文</t>
  </si>
  <si>
    <t>马明龙</t>
  </si>
  <si>
    <t>李强</t>
  </si>
  <si>
    <t>宋乐伟</t>
  </si>
  <si>
    <t>山东省潍坊市</t>
  </si>
  <si>
    <t>徐缨</t>
  </si>
  <si>
    <t>Age_Begin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</si>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</sst>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FFC000"/>
      <name val="Aptos Narrow"/>
      <family val="2"/>
      <scheme val="minor"/>
    </font>
    <font>
      <sz val="16"/>
      <color rgb="FF333333"/>
      <name val="微软雅黑"/>
      <family val="2"/>
      <charset val="134"/>
    </font>
    <font>
      <sz val="21"/>
      <color rgb="FF333333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rgb="FF000000"/>
      <name val="黑体"/>
      <charset val="134"/>
    </font>
    <font>
      <sz val="13"/>
      <color rgb="FF000000"/>
      <name val="微软雅黑"/>
      <family val="2"/>
      <charset val="134"/>
    </font>
    <font>
      <sz val="10"/>
      <color rgb="FF000000"/>
      <name val="楷体_GB2312"/>
    </font>
    <font>
      <sz val="10"/>
      <color theme="1"/>
      <name val="宋体"/>
      <charset val="134"/>
    </font>
    <font>
      <sz val="10"/>
      <color theme="1"/>
      <name val="微软雅黑"/>
      <family val="2"/>
      <charset val="134"/>
    </font>
    <font>
      <sz val="13"/>
      <color theme="1"/>
      <name val="微软雅黑"/>
      <family val="2"/>
      <charset val="134"/>
    </font>
    <font>
      <sz val="10"/>
      <color rgb="FFFF0000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Aptos Narrow"/>
      <family val="2"/>
      <scheme val="minor"/>
    </font>
    <font>
      <sz val="10"/>
      <color rgb="FF00B0F0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2" fontId="1" fillId="0" borderId="0" xfId="0" applyNumberFormat="1" applyFont="1"/>
    <xf numFmtId="0" fontId="13" fillId="0" borderId="0" xfId="0" applyFont="1"/>
    <xf numFmtId="2" fontId="16" fillId="0" borderId="0" xfId="0" applyNumberFormat="1" applyFont="1"/>
    <xf numFmtId="0" fontId="17" fillId="0" borderId="0" xfId="0" applyFont="1"/>
    <xf numFmtId="2" fontId="15" fillId="0" borderId="0" xfId="0" applyNumberFormat="1" applyFont="1" applyAlignment="1">
      <alignment horizontal="left" wrapText="1"/>
    </xf>
    <xf numFmtId="2" fontId="0" fillId="0" borderId="0" xfId="0" applyNumberFormat="1" applyAlignment="1">
      <alignment horizontal="left"/>
    </xf>
    <xf numFmtId="0" fontId="14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 indent="1"/>
    </xf>
    <xf numFmtId="0" fontId="18" fillId="0" borderId="0" xfId="0" applyFont="1" applyAlignment="1">
      <alignment horizontal="left" vertical="top"/>
    </xf>
    <xf numFmtId="0" fontId="0" fillId="2" borderId="0" xfId="0" applyFill="1"/>
    <xf numFmtId="0" fontId="16" fillId="0" borderId="0" xfId="0" applyFont="1"/>
    <xf numFmtId="0" fontId="14" fillId="0" borderId="0" xfId="0" applyFont="1" applyAlignment="1">
      <alignment horizontal="left" vertical="top"/>
    </xf>
    <xf numFmtId="0" fontId="19" fillId="0" borderId="0" xfId="0" applyFont="1"/>
    <xf numFmtId="2" fontId="20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left" vertical="top"/>
    </xf>
    <xf numFmtId="10" fontId="0" fillId="0" borderId="0" xfId="0" applyNumberFormat="1"/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0" fillId="0" borderId="1" xfId="0" applyBorder="1"/>
    <xf numFmtId="0" fontId="24" fillId="0" borderId="1" xfId="0" applyFont="1" applyBorder="1"/>
    <xf numFmtId="0" fontId="0" fillId="3" borderId="1" xfId="0" applyFill="1" applyBorder="1"/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/>
    <xf numFmtId="1" fontId="25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1" fontId="24" fillId="0" borderId="3" xfId="0" applyNumberFormat="1" applyFont="1" applyBorder="1" applyAlignment="1">
      <alignment horizontal="left" vertical="center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right"/>
    </xf>
    <xf numFmtId="1" fontId="0" fillId="0" borderId="0" xfId="0" applyNumberFormat="1"/>
    <xf numFmtId="0" fontId="0" fillId="0" borderId="1" xfId="0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101600</xdr:rowOff>
    </xdr:to>
    <xdr:sp macro="" textlink="">
      <xdr:nvSpPr>
        <xdr:cNvPr id="11266" name="AutoShape 2" descr="Uploaded image">
          <a:extLst>
            <a:ext uri="{FF2B5EF4-FFF2-40B4-BE49-F238E27FC236}">
              <a16:creationId xmlns:a16="http://schemas.microsoft.com/office/drawing/2014/main" id="{A0BC82E3-D1BA-DBEB-3788-79C54DD9CE94}"/>
            </a:ext>
          </a:extLst>
        </xdr:cNvPr>
        <xdr:cNvSpPr>
          <a:spLocks noChangeAspect="1" noChangeArrowheads="1"/>
        </xdr:cNvSpPr>
      </xdr:nvSpPr>
      <xdr:spPr bwMode="auto">
        <a:xfrm>
          <a:off x="495300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O20"/>
  <sheetViews>
    <sheetView topLeftCell="E1" zoomScale="133" workbookViewId="0">
      <selection activeCell="C10" sqref="C10"/>
    </sheetView>
  </sheetViews>
  <sheetFormatPr baseColWidth="10" defaultRowHeight="16"/>
  <cols>
    <col min="3" max="3" width="19.1640625" customWidth="1"/>
    <col min="4" max="4" width="21.6640625" customWidth="1"/>
    <col min="5" max="5" width="20.6640625" customWidth="1"/>
    <col min="8" max="8" width="14.5" customWidth="1"/>
    <col min="12" max="12" width="17.1640625" customWidth="1"/>
  </cols>
  <sheetData>
    <row r="1" spans="1:15" s="2" customFormat="1" ht="14">
      <c r="A1" s="2" t="s">
        <v>14</v>
      </c>
      <c r="B1" s="2" t="s">
        <v>72</v>
      </c>
      <c r="C1" s="2" t="s">
        <v>22</v>
      </c>
      <c r="D1" s="2" t="s">
        <v>23</v>
      </c>
      <c r="E1" s="2" t="s">
        <v>68</v>
      </c>
      <c r="F1" s="2" t="s">
        <v>18</v>
      </c>
      <c r="H1" s="2" t="s">
        <v>66</v>
      </c>
      <c r="I1" s="2" t="s">
        <v>67</v>
      </c>
      <c r="J1" s="2" t="s">
        <v>68</v>
      </c>
    </row>
    <row r="2" spans="1:15">
      <c r="A2" t="s">
        <v>1</v>
      </c>
      <c r="B2" t="s">
        <v>73</v>
      </c>
      <c r="C2" t="s">
        <v>61</v>
      </c>
      <c r="D2" t="s">
        <v>16</v>
      </c>
      <c r="E2" t="s">
        <v>15</v>
      </c>
      <c r="F2" t="s">
        <v>17</v>
      </c>
      <c r="G2" t="s">
        <v>62</v>
      </c>
      <c r="H2" t="s">
        <v>63</v>
      </c>
      <c r="I2" t="s">
        <v>64</v>
      </c>
      <c r="K2" t="s">
        <v>69</v>
      </c>
      <c r="L2" t="s">
        <v>71</v>
      </c>
      <c r="M2" t="s">
        <v>75</v>
      </c>
      <c r="N2" t="s">
        <v>174</v>
      </c>
    </row>
    <row r="3" spans="1:15">
      <c r="A3" t="s">
        <v>0</v>
      </c>
      <c r="B3" s="12">
        <v>194798.8</v>
      </c>
      <c r="C3" s="1">
        <v>228413.3</v>
      </c>
      <c r="D3" s="12">
        <v>194798.8</v>
      </c>
      <c r="E3" s="1">
        <v>195210.7</v>
      </c>
      <c r="F3" s="1">
        <v>14796.5</v>
      </c>
      <c r="G3" s="1"/>
      <c r="H3" s="1">
        <v>307874.7</v>
      </c>
      <c r="I3" s="1">
        <v>227810.1</v>
      </c>
      <c r="J3" s="1">
        <v>237009.6</v>
      </c>
      <c r="K3" s="1">
        <f>(H3-C3)/H3</f>
        <v>0.25809655681353494</v>
      </c>
      <c r="L3">
        <f>(I3-D3)/I3</f>
        <v>0.14490709586625009</v>
      </c>
      <c r="M3" s="14">
        <v>-31525.5</v>
      </c>
      <c r="N3" s="1">
        <f>D3-M3</f>
        <v>226324.3</v>
      </c>
      <c r="O3">
        <f>M3/N3</f>
        <v>-0.13929348284740084</v>
      </c>
    </row>
    <row r="4" spans="1:15">
      <c r="A4" t="s">
        <v>2</v>
      </c>
      <c r="B4" s="12">
        <v>385499.3</v>
      </c>
      <c r="C4" s="1">
        <v>442933.3</v>
      </c>
      <c r="D4" s="12">
        <v>385499.3</v>
      </c>
      <c r="E4" s="1">
        <v>386813.1</v>
      </c>
      <c r="F4" s="1">
        <v>5249.7</v>
      </c>
      <c r="G4" s="1"/>
      <c r="H4" s="1">
        <v>495886.7</v>
      </c>
      <c r="I4" s="1">
        <v>425551.5</v>
      </c>
      <c r="J4" s="1">
        <v>442942.2</v>
      </c>
      <c r="K4" s="1">
        <f t="shared" ref="K4:K12" si="0">(H4-C4)/H4</f>
        <v>0.10678527978266007</v>
      </c>
      <c r="L4">
        <f>(I4-D4)/I4</f>
        <v>9.4118338203484211E-2</v>
      </c>
      <c r="M4" s="14">
        <v>-40400</v>
      </c>
      <c r="N4" s="1">
        <f t="shared" ref="N4:N15" si="1">D4-M4</f>
        <v>425899.3</v>
      </c>
      <c r="O4">
        <f t="shared" ref="O4:O15" si="2">M4/N4</f>
        <v>-9.4858103781809464E-2</v>
      </c>
    </row>
    <row r="5" spans="1:15">
      <c r="A5" t="s">
        <v>3</v>
      </c>
      <c r="B5" s="21">
        <v>373451.3</v>
      </c>
      <c r="C5" s="1">
        <v>437333.3</v>
      </c>
      <c r="D5" s="1">
        <v>372666.8</v>
      </c>
      <c r="E5" s="1"/>
      <c r="F5" s="1">
        <v>1813.9</v>
      </c>
      <c r="G5" s="1"/>
      <c r="H5" s="1"/>
      <c r="I5" s="1"/>
      <c r="K5" s="1"/>
      <c r="M5" s="15">
        <v>-52611.1</v>
      </c>
      <c r="N5" s="1">
        <f t="shared" si="1"/>
        <v>425277.89999999997</v>
      </c>
      <c r="O5">
        <f t="shared" si="2"/>
        <v>-0.12370993178813196</v>
      </c>
    </row>
    <row r="6" spans="1:15">
      <c r="A6" t="s">
        <v>4</v>
      </c>
      <c r="B6" s="12">
        <v>127883</v>
      </c>
      <c r="C6" s="1">
        <v>154140</v>
      </c>
      <c r="D6" s="1">
        <v>127055</v>
      </c>
      <c r="E6" s="12">
        <v>127883</v>
      </c>
      <c r="F6" s="1">
        <v>4554.3</v>
      </c>
      <c r="G6" s="1"/>
      <c r="H6" s="1">
        <v>195142.17</v>
      </c>
      <c r="I6" s="1">
        <v>148906.67000000001</v>
      </c>
      <c r="J6" s="1">
        <v>149752.49</v>
      </c>
      <c r="K6" s="1">
        <f t="shared" si="0"/>
        <v>0.2101143489385201</v>
      </c>
      <c r="L6">
        <f t="shared" ref="L6:L15" si="3">(I6-D6)/I6</f>
        <v>0.14674742239551802</v>
      </c>
      <c r="M6" s="14">
        <v>-21151.7</v>
      </c>
      <c r="N6" s="1">
        <f t="shared" si="1"/>
        <v>148206.70000000001</v>
      </c>
      <c r="O6">
        <f t="shared" si="2"/>
        <v>-0.14271756944861466</v>
      </c>
    </row>
    <row r="7" spans="1:15">
      <c r="A7" t="s">
        <v>5</v>
      </c>
      <c r="B7" s="12">
        <v>520235.1</v>
      </c>
      <c r="C7" s="1">
        <v>576320</v>
      </c>
      <c r="D7" s="1">
        <v>519706</v>
      </c>
      <c r="E7" s="12">
        <v>520235.1</v>
      </c>
      <c r="F7" s="1">
        <v>2296.5</v>
      </c>
      <c r="G7" s="1"/>
      <c r="H7" s="1">
        <v>686477.39</v>
      </c>
      <c r="I7" s="1">
        <v>562929.21</v>
      </c>
      <c r="J7" s="1">
        <v>609062.31999999995</v>
      </c>
      <c r="K7" s="1">
        <f t="shared" si="0"/>
        <v>0.16046761569233914</v>
      </c>
      <c r="L7">
        <f t="shared" si="3"/>
        <v>7.6782673970675577E-2</v>
      </c>
      <c r="M7" s="14">
        <v>-40954</v>
      </c>
      <c r="N7" s="1">
        <f t="shared" si="1"/>
        <v>560660</v>
      </c>
      <c r="O7">
        <f t="shared" si="2"/>
        <v>-7.3046052866264755E-2</v>
      </c>
    </row>
    <row r="8" spans="1:15">
      <c r="A8" t="s">
        <v>6</v>
      </c>
      <c r="B8" s="12">
        <v>248695.6</v>
      </c>
      <c r="C8" s="1">
        <v>300607.7</v>
      </c>
      <c r="D8" s="1">
        <v>247308.79999999999</v>
      </c>
      <c r="E8" s="12">
        <v>248695.6</v>
      </c>
      <c r="F8" s="1">
        <v>2143.4</v>
      </c>
      <c r="G8" s="1"/>
      <c r="H8" s="1">
        <v>330158.5</v>
      </c>
      <c r="I8" s="1">
        <v>270186</v>
      </c>
      <c r="J8" s="1">
        <v>284223.5</v>
      </c>
      <c r="K8" s="1">
        <f t="shared" si="0"/>
        <v>8.9504889318312228E-2</v>
      </c>
      <c r="L8">
        <f t="shared" si="3"/>
        <v>8.4672040742303487E-2</v>
      </c>
      <c r="M8" s="14">
        <v>-22026.3</v>
      </c>
      <c r="N8" s="1">
        <f t="shared" si="1"/>
        <v>269335.09999999998</v>
      </c>
      <c r="O8">
        <f t="shared" si="2"/>
        <v>-8.1780280401626076E-2</v>
      </c>
    </row>
    <row r="9" spans="1:15">
      <c r="A9" t="s">
        <v>7</v>
      </c>
      <c r="B9" s="12">
        <v>91417.8</v>
      </c>
      <c r="C9" s="1">
        <v>110826.7</v>
      </c>
      <c r="D9" s="1">
        <v>90439.2</v>
      </c>
      <c r="E9" s="12">
        <v>91417.8</v>
      </c>
      <c r="F9" s="1">
        <v>3626.3</v>
      </c>
      <c r="G9" s="1"/>
      <c r="H9" s="1">
        <v>149356.79999999999</v>
      </c>
      <c r="I9" s="1">
        <v>109880.1</v>
      </c>
      <c r="J9" s="1">
        <v>116063.6</v>
      </c>
      <c r="K9" s="1">
        <f t="shared" si="0"/>
        <v>0.25797352380340227</v>
      </c>
      <c r="L9">
        <f t="shared" si="3"/>
        <v>0.17692830639943</v>
      </c>
      <c r="M9" s="14">
        <v>-19440.8</v>
      </c>
      <c r="N9" s="1">
        <f t="shared" si="1"/>
        <v>109880</v>
      </c>
      <c r="O9">
        <f t="shared" si="2"/>
        <v>-0.17692755733527485</v>
      </c>
    </row>
    <row r="10" spans="1:15">
      <c r="A10" t="s">
        <v>8</v>
      </c>
      <c r="B10" s="12">
        <v>250029.3</v>
      </c>
      <c r="C10" s="1">
        <v>301673.3</v>
      </c>
      <c r="D10" s="12">
        <v>250029.3</v>
      </c>
      <c r="E10" s="1">
        <v>293470.59999999998</v>
      </c>
      <c r="F10" s="1">
        <v>7746.4</v>
      </c>
      <c r="G10" s="1"/>
      <c r="H10" s="1">
        <v>317209.59999999998</v>
      </c>
      <c r="I10" s="1">
        <v>272755.3</v>
      </c>
      <c r="J10" s="1">
        <v>295763.59999999998</v>
      </c>
      <c r="K10" s="1">
        <f t="shared" si="0"/>
        <v>4.8978025885723475E-2</v>
      </c>
      <c r="L10">
        <f t="shared" si="3"/>
        <v>8.3320104137298165E-2</v>
      </c>
      <c r="M10" s="14">
        <v>-23175.5</v>
      </c>
      <c r="N10" s="1">
        <f t="shared" si="1"/>
        <v>273204.8</v>
      </c>
      <c r="O10">
        <f t="shared" si="2"/>
        <v>-8.4828304627151505E-2</v>
      </c>
    </row>
    <row r="11" spans="1:15">
      <c r="A11" t="s">
        <v>9</v>
      </c>
      <c r="B11" s="12">
        <v>394698.7</v>
      </c>
      <c r="C11" s="1">
        <v>476026.7</v>
      </c>
      <c r="D11" s="12">
        <v>394698.7</v>
      </c>
      <c r="E11" s="1">
        <v>463488.6</v>
      </c>
      <c r="F11" s="10">
        <v>5314.3</v>
      </c>
      <c r="G11" s="1"/>
      <c r="H11" s="1">
        <v>501283</v>
      </c>
      <c r="I11" s="1">
        <v>422301.6</v>
      </c>
      <c r="J11" s="1">
        <v>471885.5</v>
      </c>
      <c r="K11" s="1">
        <f t="shared" si="0"/>
        <v>5.038331641009168E-2</v>
      </c>
      <c r="L11">
        <f t="shared" si="3"/>
        <v>6.5363001229452988E-2</v>
      </c>
      <c r="M11" s="14">
        <v>-26341.599999999999</v>
      </c>
      <c r="N11" s="1">
        <f t="shared" si="1"/>
        <v>421040.3</v>
      </c>
      <c r="O11">
        <f t="shared" si="2"/>
        <v>-6.256313231773776E-2</v>
      </c>
    </row>
    <row r="12" spans="1:15">
      <c r="A12" t="s">
        <v>10</v>
      </c>
      <c r="B12" s="12">
        <v>721757.76</v>
      </c>
      <c r="C12" s="1">
        <v>815393.3</v>
      </c>
      <c r="D12" s="1">
        <v>720865.3</v>
      </c>
      <c r="E12" s="12">
        <v>721757.76</v>
      </c>
      <c r="F12" s="1">
        <v>6516.83</v>
      </c>
      <c r="G12" s="1"/>
      <c r="H12" s="1">
        <v>897404.31</v>
      </c>
      <c r="I12" s="1">
        <v>766011.5</v>
      </c>
      <c r="J12" s="1">
        <v>836345.72</v>
      </c>
      <c r="K12" s="1">
        <f t="shared" si="0"/>
        <v>9.1386913441501086E-2</v>
      </c>
      <c r="L12">
        <f t="shared" si="3"/>
        <v>5.8936713091121938E-2</v>
      </c>
      <c r="M12" s="14">
        <v>-41997.72</v>
      </c>
      <c r="N12" s="1">
        <f t="shared" si="1"/>
        <v>762863.02</v>
      </c>
      <c r="O12">
        <f t="shared" si="2"/>
        <v>-5.5052766878121842E-2</v>
      </c>
    </row>
    <row r="13" spans="1:15">
      <c r="A13" t="s">
        <v>11</v>
      </c>
      <c r="B13" s="12">
        <v>168589.8</v>
      </c>
      <c r="C13" s="1">
        <v>198593.3</v>
      </c>
      <c r="D13" s="12">
        <v>168589.8</v>
      </c>
      <c r="E13" s="1">
        <v>169641.35</v>
      </c>
      <c r="F13" s="1">
        <v>4635.1099999999997</v>
      </c>
      <c r="G13" s="1"/>
      <c r="H13" s="1">
        <v>245318.07</v>
      </c>
      <c r="I13" s="1">
        <v>206209.76</v>
      </c>
      <c r="J13" s="1">
        <v>161139.95000000001</v>
      </c>
      <c r="K13" s="1">
        <f t="shared" ref="K13:K15" si="4">(I13-D13)/I13</f>
        <v>0.18243539975993386</v>
      </c>
      <c r="L13">
        <f t="shared" si="3"/>
        <v>0.18243539975993386</v>
      </c>
      <c r="M13" s="14">
        <v>-36880.58</v>
      </c>
      <c r="N13" s="1">
        <f t="shared" si="1"/>
        <v>205470.38</v>
      </c>
      <c r="O13">
        <f t="shared" si="2"/>
        <v>-0.17949341408722758</v>
      </c>
    </row>
    <row r="14" spans="1:15">
      <c r="A14" t="s">
        <v>12</v>
      </c>
      <c r="B14" s="12">
        <v>315104.90000000002</v>
      </c>
      <c r="C14" s="1">
        <v>374673.3</v>
      </c>
      <c r="D14" s="1">
        <v>313442.7</v>
      </c>
      <c r="E14" s="12">
        <v>315104.90000000002</v>
      </c>
      <c r="F14" s="1">
        <v>922.1</v>
      </c>
      <c r="G14" s="1">
        <v>1792.2</v>
      </c>
      <c r="H14" s="1">
        <v>406830.1</v>
      </c>
      <c r="I14" s="1">
        <v>337108.6</v>
      </c>
      <c r="J14" s="1">
        <v>392505.59999999998</v>
      </c>
      <c r="K14" s="1">
        <f t="shared" si="4"/>
        <v>7.0202599399718568E-2</v>
      </c>
      <c r="L14">
        <f t="shared" si="3"/>
        <v>7.0202599399718568E-2</v>
      </c>
      <c r="M14" s="14">
        <v>-22094.400000000001</v>
      </c>
      <c r="N14" s="1">
        <f t="shared" si="1"/>
        <v>335537.10000000003</v>
      </c>
      <c r="O14">
        <f t="shared" si="2"/>
        <v>-6.5847860042898387E-2</v>
      </c>
    </row>
    <row r="15" spans="1:15">
      <c r="A15" t="s">
        <v>13</v>
      </c>
      <c r="B15" s="12">
        <v>123419.69</v>
      </c>
      <c r="C15" s="1">
        <v>151733.32</v>
      </c>
      <c r="D15" s="1">
        <v>122971.9</v>
      </c>
      <c r="E15" s="12">
        <v>123419.69</v>
      </c>
      <c r="F15" s="1">
        <v>6148.08</v>
      </c>
      <c r="G15" s="1"/>
      <c r="H15" s="1">
        <v>184406.71</v>
      </c>
      <c r="I15" s="1">
        <v>140013.72</v>
      </c>
      <c r="J15" s="1">
        <v>156309.62</v>
      </c>
      <c r="K15" s="1">
        <f t="shared" si="4"/>
        <v>0.12171535760924006</v>
      </c>
      <c r="L15">
        <f t="shared" si="3"/>
        <v>0.12171535760924006</v>
      </c>
      <c r="M15" s="14">
        <v>-16121.4</v>
      </c>
      <c r="N15" s="1">
        <f t="shared" si="1"/>
        <v>139093.29999999999</v>
      </c>
      <c r="O15">
        <f t="shared" si="2"/>
        <v>-0.11590349786797784</v>
      </c>
    </row>
    <row r="17" spans="1:13">
      <c r="A17" s="2" t="s">
        <v>19</v>
      </c>
      <c r="B17" s="2"/>
      <c r="M17" s="14"/>
    </row>
    <row r="18" spans="1:13">
      <c r="A18" s="2" t="s">
        <v>60</v>
      </c>
      <c r="B18" s="2"/>
    </row>
    <row r="19" spans="1:13">
      <c r="A19" s="11" t="s">
        <v>65</v>
      </c>
      <c r="B19" s="11"/>
    </row>
    <row r="20" spans="1:13">
      <c r="A20" s="13" t="s">
        <v>70</v>
      </c>
      <c r="B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1F0-453F-5049-93AF-B411C5A4E3C0}">
  <dimension ref="A1:G36"/>
  <sheetViews>
    <sheetView zoomScale="141" workbookViewId="0">
      <selection activeCell="C20" sqref="C20"/>
    </sheetView>
  </sheetViews>
  <sheetFormatPr baseColWidth="10" defaultRowHeight="16"/>
  <sheetData>
    <row r="1" spans="1:7" ht="29">
      <c r="A1" s="3" t="s">
        <v>20</v>
      </c>
      <c r="E1" t="s">
        <v>59</v>
      </c>
    </row>
    <row r="2" spans="1:7">
      <c r="A2" s="4"/>
    </row>
    <row r="3" spans="1:7" ht="19">
      <c r="A3" s="5" t="s">
        <v>21</v>
      </c>
      <c r="B3" s="5" t="s">
        <v>22</v>
      </c>
      <c r="C3" s="5" t="s">
        <v>23</v>
      </c>
      <c r="D3" s="5" t="s">
        <v>24</v>
      </c>
    </row>
    <row r="4" spans="1:7">
      <c r="A4" s="6" t="s">
        <v>25</v>
      </c>
      <c r="B4" s="6" t="s">
        <v>26</v>
      </c>
      <c r="C4" s="6" t="s">
        <v>25</v>
      </c>
      <c r="D4" s="6" t="s">
        <v>26</v>
      </c>
      <c r="E4" s="6" t="s">
        <v>25</v>
      </c>
      <c r="F4" s="6" t="s">
        <v>26</v>
      </c>
    </row>
    <row r="5" spans="1:7" ht="19">
      <c r="A5" s="7" t="s">
        <v>27</v>
      </c>
      <c r="B5" s="8">
        <v>12433.33</v>
      </c>
      <c r="C5" s="8">
        <v>186500</v>
      </c>
      <c r="D5" s="9">
        <v>10306.67</v>
      </c>
      <c r="E5" s="9">
        <v>154600</v>
      </c>
      <c r="F5" s="8">
        <v>4071.93</v>
      </c>
      <c r="G5" s="9">
        <v>61079</v>
      </c>
    </row>
    <row r="6" spans="1:7" ht="19">
      <c r="A6" s="7" t="s">
        <v>28</v>
      </c>
      <c r="B6" s="8">
        <v>11.07</v>
      </c>
      <c r="C6" s="8">
        <v>166</v>
      </c>
      <c r="D6" s="9">
        <v>10</v>
      </c>
      <c r="E6" s="9">
        <v>150</v>
      </c>
      <c r="F6" s="8">
        <v>37.200000000000003</v>
      </c>
      <c r="G6" s="9">
        <v>558</v>
      </c>
    </row>
    <row r="7" spans="1:7" ht="19">
      <c r="A7" s="7" t="s">
        <v>29</v>
      </c>
      <c r="B7" s="8">
        <v>33.4</v>
      </c>
      <c r="C7" s="8">
        <v>501</v>
      </c>
      <c r="D7" s="9">
        <v>28.47</v>
      </c>
      <c r="E7" s="9">
        <v>427</v>
      </c>
      <c r="F7" s="8">
        <v>44.07</v>
      </c>
      <c r="G7" s="9">
        <v>661</v>
      </c>
    </row>
    <row r="8" spans="1:7" ht="19">
      <c r="A8" s="7" t="s">
        <v>30</v>
      </c>
      <c r="B8" s="8">
        <v>605.33000000000004</v>
      </c>
      <c r="C8" s="8">
        <v>9080</v>
      </c>
      <c r="D8" s="9">
        <v>515</v>
      </c>
      <c r="E8" s="9">
        <v>7725</v>
      </c>
      <c r="F8" s="8">
        <v>224.8</v>
      </c>
      <c r="G8" s="9">
        <v>3372</v>
      </c>
    </row>
    <row r="9" spans="1:7" ht="19">
      <c r="A9" s="7" t="s">
        <v>31</v>
      </c>
      <c r="B9" s="8">
        <v>383.8</v>
      </c>
      <c r="C9" s="8">
        <v>5757</v>
      </c>
      <c r="D9" s="9">
        <v>325.93</v>
      </c>
      <c r="E9" s="9">
        <v>4889</v>
      </c>
      <c r="F9" s="8">
        <v>109.8</v>
      </c>
      <c r="G9" s="9">
        <v>1647</v>
      </c>
    </row>
    <row r="10" spans="1:7" ht="18">
      <c r="A10" s="7" t="s">
        <v>32</v>
      </c>
      <c r="B10" s="8">
        <v>766.6</v>
      </c>
      <c r="C10" s="8">
        <v>11499</v>
      </c>
      <c r="D10" s="9">
        <v>620</v>
      </c>
      <c r="E10" s="9">
        <v>9300</v>
      </c>
      <c r="F10" s="8">
        <v>170.06</v>
      </c>
      <c r="G10" s="9">
        <v>2551</v>
      </c>
    </row>
    <row r="11" spans="1:7" ht="19">
      <c r="A11" s="7" t="s">
        <v>33</v>
      </c>
      <c r="B11" s="8">
        <v>460.13</v>
      </c>
      <c r="C11" s="8">
        <v>6902</v>
      </c>
      <c r="D11" s="9">
        <v>368.13</v>
      </c>
      <c r="E11" s="9">
        <v>5522</v>
      </c>
      <c r="F11" s="8">
        <v>170.07</v>
      </c>
      <c r="G11" s="9">
        <v>2551</v>
      </c>
    </row>
    <row r="12" spans="1:7" ht="19">
      <c r="A12" s="7" t="s">
        <v>34</v>
      </c>
      <c r="B12" s="8">
        <v>606.66999999999996</v>
      </c>
      <c r="C12" s="8">
        <v>9100</v>
      </c>
      <c r="D12" s="9">
        <v>492</v>
      </c>
      <c r="E12" s="9">
        <v>7380</v>
      </c>
      <c r="F12" s="8">
        <v>113.2</v>
      </c>
      <c r="G12" s="9">
        <v>1698</v>
      </c>
    </row>
    <row r="13" spans="1:7" ht="18">
      <c r="A13" s="7" t="s">
        <v>35</v>
      </c>
      <c r="B13" s="8">
        <v>1387.13</v>
      </c>
      <c r="C13" s="8">
        <v>20807</v>
      </c>
      <c r="D13" s="9">
        <v>1109.73</v>
      </c>
      <c r="E13" s="9">
        <v>16646</v>
      </c>
      <c r="F13" s="8">
        <v>169.2</v>
      </c>
      <c r="G13" s="9">
        <v>2538</v>
      </c>
    </row>
    <row r="14" spans="1:7" ht="19">
      <c r="A14" s="7" t="s">
        <v>36</v>
      </c>
      <c r="B14" s="8">
        <v>18.8</v>
      </c>
      <c r="C14" s="8">
        <v>282</v>
      </c>
      <c r="D14" s="9">
        <v>16.600000000000001</v>
      </c>
      <c r="E14" s="9">
        <v>249</v>
      </c>
      <c r="F14" s="8">
        <v>32</v>
      </c>
      <c r="G14" s="9">
        <v>480</v>
      </c>
    </row>
    <row r="15" spans="1:7" ht="19">
      <c r="A15" s="7" t="s">
        <v>37</v>
      </c>
      <c r="B15" s="8">
        <v>456.87</v>
      </c>
      <c r="C15" s="8">
        <v>6853</v>
      </c>
      <c r="D15" s="9">
        <v>389.6</v>
      </c>
      <c r="E15" s="9">
        <v>5844</v>
      </c>
      <c r="F15" s="8">
        <v>236.13</v>
      </c>
      <c r="G15" s="9">
        <v>3542</v>
      </c>
    </row>
    <row r="16" spans="1:7" ht="19">
      <c r="A16" s="7" t="s">
        <v>38</v>
      </c>
      <c r="B16" s="8">
        <v>187.87</v>
      </c>
      <c r="C16" s="8">
        <v>2818</v>
      </c>
      <c r="D16" s="9">
        <v>159.87</v>
      </c>
      <c r="E16" s="9">
        <v>2398</v>
      </c>
      <c r="F16" s="8">
        <v>134.53</v>
      </c>
      <c r="G16" s="9">
        <v>2018</v>
      </c>
    </row>
    <row r="17" spans="1:7" ht="19">
      <c r="A17" s="7" t="s">
        <v>39</v>
      </c>
      <c r="B17" s="8">
        <v>582.4</v>
      </c>
      <c r="C17" s="8">
        <v>8736</v>
      </c>
      <c r="D17" s="9">
        <v>491.87</v>
      </c>
      <c r="E17" s="9">
        <v>7378</v>
      </c>
      <c r="F17" s="8">
        <v>205.6</v>
      </c>
      <c r="G17" s="9">
        <v>3084</v>
      </c>
    </row>
    <row r="18" spans="1:7" ht="19">
      <c r="A18" s="7" t="s">
        <v>40</v>
      </c>
      <c r="B18" s="8">
        <v>126.33</v>
      </c>
      <c r="C18" s="8">
        <v>1895</v>
      </c>
      <c r="D18" s="9">
        <v>107.27</v>
      </c>
      <c r="E18" s="9">
        <v>1609</v>
      </c>
      <c r="F18" s="8">
        <v>88</v>
      </c>
      <c r="G18" s="9">
        <v>1320</v>
      </c>
    </row>
    <row r="19" spans="1:7" ht="19">
      <c r="A19" s="7" t="s">
        <v>41</v>
      </c>
      <c r="B19" s="8">
        <v>292.73</v>
      </c>
      <c r="C19" s="8">
        <v>4391</v>
      </c>
      <c r="D19" s="9">
        <v>246.2</v>
      </c>
      <c r="E19" s="9">
        <v>3693</v>
      </c>
      <c r="F19" s="8">
        <v>133.6</v>
      </c>
      <c r="G19" s="9">
        <v>2004</v>
      </c>
    </row>
    <row r="20" spans="1:7" ht="19">
      <c r="A20" s="7" t="s">
        <v>42</v>
      </c>
      <c r="B20" s="8">
        <v>752.53</v>
      </c>
      <c r="C20" s="8">
        <v>11288</v>
      </c>
      <c r="D20" s="9">
        <v>638.92999999999995</v>
      </c>
      <c r="E20" s="9">
        <v>9584</v>
      </c>
      <c r="F20" s="8">
        <v>291.39999999999998</v>
      </c>
      <c r="G20" s="9">
        <v>4371</v>
      </c>
    </row>
    <row r="21" spans="1:7" ht="19">
      <c r="A21" s="7" t="s">
        <v>43</v>
      </c>
      <c r="B21" s="8">
        <v>802.33</v>
      </c>
      <c r="C21" s="8">
        <v>12035</v>
      </c>
      <c r="D21" s="9">
        <v>680.4</v>
      </c>
      <c r="E21" s="9">
        <v>10206</v>
      </c>
      <c r="F21" s="8">
        <v>268.47000000000003</v>
      </c>
      <c r="G21" s="9">
        <v>4027</v>
      </c>
    </row>
    <row r="22" spans="1:7" ht="19">
      <c r="A22" s="7" t="s">
        <v>44</v>
      </c>
      <c r="B22" s="8">
        <v>482.87</v>
      </c>
      <c r="C22" s="8">
        <v>7243</v>
      </c>
      <c r="D22" s="9">
        <v>390.8</v>
      </c>
      <c r="E22" s="9">
        <v>5862</v>
      </c>
      <c r="F22" s="8">
        <v>177.73</v>
      </c>
      <c r="G22" s="9">
        <v>2666</v>
      </c>
    </row>
    <row r="23" spans="1:7" ht="19">
      <c r="A23" s="7" t="s">
        <v>45</v>
      </c>
      <c r="B23" s="8">
        <v>397.07</v>
      </c>
      <c r="C23" s="8">
        <v>5956</v>
      </c>
      <c r="D23" s="9">
        <v>329.67</v>
      </c>
      <c r="E23" s="9">
        <v>4945</v>
      </c>
      <c r="F23" s="8">
        <v>171</v>
      </c>
      <c r="G23" s="9">
        <v>2565</v>
      </c>
    </row>
    <row r="24" spans="1:7" ht="19">
      <c r="A24" s="7" t="s">
        <v>46</v>
      </c>
      <c r="B24" s="8">
        <v>247.93</v>
      </c>
      <c r="C24" s="8">
        <v>3719</v>
      </c>
      <c r="D24" s="9">
        <v>210.93</v>
      </c>
      <c r="E24" s="9">
        <v>3164</v>
      </c>
      <c r="F24" s="8">
        <v>208.53</v>
      </c>
      <c r="G24" s="9">
        <v>3128</v>
      </c>
    </row>
    <row r="25" spans="1:7" ht="19">
      <c r="A25" s="7" t="s">
        <v>47</v>
      </c>
      <c r="B25" s="8">
        <v>436.4</v>
      </c>
      <c r="C25" s="8">
        <v>6546</v>
      </c>
      <c r="D25" s="9">
        <v>365.4</v>
      </c>
      <c r="E25" s="9">
        <v>5481</v>
      </c>
      <c r="F25" s="8">
        <v>129.13</v>
      </c>
      <c r="G25" s="9">
        <v>1937</v>
      </c>
    </row>
    <row r="26" spans="1:7" ht="19">
      <c r="A26" s="7" t="s">
        <v>48</v>
      </c>
      <c r="B26" s="8">
        <v>71.47</v>
      </c>
      <c r="C26" s="8">
        <v>1072</v>
      </c>
      <c r="D26" s="9">
        <v>60.6</v>
      </c>
      <c r="E26" s="9">
        <v>909</v>
      </c>
      <c r="F26" s="8">
        <v>36.67</v>
      </c>
      <c r="G26" s="9">
        <v>550</v>
      </c>
    </row>
    <row r="27" spans="1:7" ht="19">
      <c r="A27" s="7" t="s">
        <v>49</v>
      </c>
      <c r="B27" s="8">
        <v>190.6</v>
      </c>
      <c r="C27" s="8">
        <v>2859</v>
      </c>
      <c r="D27" s="9">
        <v>161.6</v>
      </c>
      <c r="E27" s="9">
        <v>2424</v>
      </c>
      <c r="F27" s="8">
        <v>72</v>
      </c>
      <c r="G27" s="9">
        <v>1080</v>
      </c>
    </row>
    <row r="28" spans="1:7" ht="19">
      <c r="A28" s="7" t="s">
        <v>50</v>
      </c>
      <c r="B28" s="8">
        <v>629.87</v>
      </c>
      <c r="C28" s="8">
        <v>9448</v>
      </c>
      <c r="D28" s="9">
        <v>519.53</v>
      </c>
      <c r="E28" s="9">
        <v>7793</v>
      </c>
      <c r="F28" s="8">
        <v>190.47</v>
      </c>
      <c r="G28" s="9">
        <v>2857</v>
      </c>
    </row>
    <row r="29" spans="1:7" ht="19">
      <c r="A29" s="7" t="s">
        <v>51</v>
      </c>
      <c r="B29" s="8">
        <v>419.07</v>
      </c>
      <c r="C29" s="8">
        <v>6286</v>
      </c>
      <c r="D29" s="9">
        <v>350.47</v>
      </c>
      <c r="E29" s="9">
        <v>5257</v>
      </c>
      <c r="F29" s="8">
        <v>74.400000000000006</v>
      </c>
      <c r="G29" s="9">
        <v>1116</v>
      </c>
    </row>
    <row r="30" spans="1:7" ht="19">
      <c r="A30" s="7" t="s">
        <v>52</v>
      </c>
      <c r="B30" s="8">
        <v>584.53</v>
      </c>
      <c r="C30" s="8">
        <v>8768</v>
      </c>
      <c r="D30" s="9">
        <v>489.4</v>
      </c>
      <c r="E30" s="9">
        <v>7341</v>
      </c>
      <c r="F30" s="8">
        <v>115.4</v>
      </c>
      <c r="G30" s="9">
        <v>1731</v>
      </c>
    </row>
    <row r="31" spans="1:7" ht="19">
      <c r="A31" s="7" t="s">
        <v>53</v>
      </c>
      <c r="B31" s="8">
        <v>39.47</v>
      </c>
      <c r="C31" s="8">
        <v>592</v>
      </c>
      <c r="D31" s="9">
        <v>31.6</v>
      </c>
      <c r="E31" s="9">
        <v>474</v>
      </c>
      <c r="F31" s="8">
        <v>16.47</v>
      </c>
      <c r="G31" s="9">
        <v>247</v>
      </c>
    </row>
    <row r="32" spans="1:7" ht="19">
      <c r="A32" s="7" t="s">
        <v>54</v>
      </c>
      <c r="B32" s="8">
        <v>360.93</v>
      </c>
      <c r="C32" s="8">
        <v>5414</v>
      </c>
      <c r="D32" s="9">
        <v>306</v>
      </c>
      <c r="E32" s="9">
        <v>4590</v>
      </c>
      <c r="F32" s="8">
        <v>100.27</v>
      </c>
      <c r="G32" s="9">
        <v>1504</v>
      </c>
    </row>
    <row r="33" spans="1:7" ht="19">
      <c r="A33" s="7" t="s">
        <v>55</v>
      </c>
      <c r="B33" s="8">
        <v>498.47</v>
      </c>
      <c r="C33" s="8">
        <v>7477</v>
      </c>
      <c r="D33" s="9">
        <v>399</v>
      </c>
      <c r="E33" s="9">
        <v>5985</v>
      </c>
      <c r="F33" s="8">
        <v>94.87</v>
      </c>
      <c r="G33" s="9">
        <v>1423</v>
      </c>
    </row>
    <row r="34" spans="1:7" ht="19">
      <c r="A34" s="7" t="s">
        <v>56</v>
      </c>
      <c r="B34" s="8">
        <v>55.4</v>
      </c>
      <c r="C34" s="8">
        <v>831</v>
      </c>
      <c r="D34" s="9">
        <v>44.4</v>
      </c>
      <c r="E34" s="9">
        <v>666</v>
      </c>
      <c r="F34" s="8">
        <v>37</v>
      </c>
      <c r="G34" s="9">
        <v>555</v>
      </c>
    </row>
    <row r="35" spans="1:7" ht="19">
      <c r="A35" s="7" t="s">
        <v>57</v>
      </c>
      <c r="B35" s="8">
        <v>116.53</v>
      </c>
      <c r="C35" s="8">
        <v>1748</v>
      </c>
      <c r="D35" s="9">
        <v>93.27</v>
      </c>
      <c r="E35" s="9">
        <v>1399</v>
      </c>
      <c r="F35" s="8">
        <v>34.130000000000003</v>
      </c>
      <c r="G35" s="9">
        <v>512</v>
      </c>
    </row>
    <row r="36" spans="1:7" ht="19">
      <c r="A36" s="7" t="s">
        <v>58</v>
      </c>
      <c r="B36" s="8">
        <v>428.73</v>
      </c>
      <c r="C36" s="8">
        <v>6431</v>
      </c>
      <c r="D36" s="9">
        <v>354</v>
      </c>
      <c r="E36" s="9">
        <v>5310</v>
      </c>
      <c r="F36" s="8">
        <v>185.73</v>
      </c>
      <c r="G36" s="9">
        <v>2786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920A-AEC1-DB48-B3B2-DA6D8D497AE3}">
  <dimension ref="A1:B14"/>
  <sheetViews>
    <sheetView zoomScale="158" workbookViewId="0">
      <selection activeCell="D16" sqref="D16"/>
    </sheetView>
  </sheetViews>
  <sheetFormatPr baseColWidth="10" defaultRowHeight="16"/>
  <sheetData>
    <row r="1" spans="1:2">
      <c r="A1" t="s">
        <v>1</v>
      </c>
      <c r="B1" t="s">
        <v>74</v>
      </c>
    </row>
    <row r="2" spans="1:2">
      <c r="A2" t="s">
        <v>0</v>
      </c>
      <c r="B2" s="12">
        <v>194798.8</v>
      </c>
    </row>
    <row r="3" spans="1:2">
      <c r="A3" t="s">
        <v>2</v>
      </c>
      <c r="B3" s="12">
        <v>385499.3</v>
      </c>
    </row>
    <row r="4" spans="1:2">
      <c r="A4" t="s">
        <v>3</v>
      </c>
    </row>
    <row r="5" spans="1:2">
      <c r="A5" t="s">
        <v>4</v>
      </c>
      <c r="B5" s="12">
        <v>127883</v>
      </c>
    </row>
    <row r="6" spans="1:2">
      <c r="A6" t="s">
        <v>5</v>
      </c>
      <c r="B6" s="12">
        <v>520235.1</v>
      </c>
    </row>
    <row r="7" spans="1:2">
      <c r="A7" t="s">
        <v>6</v>
      </c>
      <c r="B7" s="12">
        <v>248695.6</v>
      </c>
    </row>
    <row r="8" spans="1:2">
      <c r="A8" t="s">
        <v>7</v>
      </c>
      <c r="B8" s="12">
        <v>91417.8</v>
      </c>
    </row>
    <row r="9" spans="1:2">
      <c r="A9" t="s">
        <v>8</v>
      </c>
      <c r="B9" s="12">
        <v>250029.3</v>
      </c>
    </row>
    <row r="10" spans="1:2">
      <c r="A10" t="s">
        <v>9</v>
      </c>
      <c r="B10" s="12">
        <v>394698.7</v>
      </c>
    </row>
    <row r="11" spans="1:2">
      <c r="A11" t="s">
        <v>10</v>
      </c>
      <c r="B11" s="12">
        <v>721757.76</v>
      </c>
    </row>
    <row r="12" spans="1:2">
      <c r="A12" t="s">
        <v>11</v>
      </c>
      <c r="B12" s="12">
        <v>168589.8</v>
      </c>
    </row>
    <row r="13" spans="1:2">
      <c r="A13" t="s">
        <v>12</v>
      </c>
      <c r="B13" s="12">
        <v>315104.90000000002</v>
      </c>
    </row>
    <row r="14" spans="1:2">
      <c r="A14" t="s">
        <v>13</v>
      </c>
      <c r="B14" s="12">
        <v>123419.69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1C3F-10BE-3C41-8869-6D60F1E9FFC6}">
  <dimension ref="A1:B14"/>
  <sheetViews>
    <sheetView zoomScale="240" workbookViewId="0">
      <selection activeCell="C11" sqref="C11"/>
    </sheetView>
  </sheetViews>
  <sheetFormatPr baseColWidth="10" defaultRowHeight="16"/>
  <sheetData>
    <row r="1" spans="1:2">
      <c r="A1" t="s">
        <v>1</v>
      </c>
      <c r="B1" t="s">
        <v>308</v>
      </c>
    </row>
    <row r="2" spans="1:2">
      <c r="A2" t="s">
        <v>0</v>
      </c>
      <c r="B2" s="1">
        <v>237009.6</v>
      </c>
    </row>
    <row r="3" spans="1:2">
      <c r="A3" t="s">
        <v>2</v>
      </c>
      <c r="B3" s="1">
        <v>442942.2</v>
      </c>
    </row>
    <row r="4" spans="1:2">
      <c r="A4" t="s">
        <v>3</v>
      </c>
    </row>
    <row r="5" spans="1:2">
      <c r="A5" t="s">
        <v>4</v>
      </c>
      <c r="B5" s="1">
        <v>149752.49</v>
      </c>
    </row>
    <row r="6" spans="1:2">
      <c r="A6" t="s">
        <v>5</v>
      </c>
      <c r="B6" s="1">
        <v>609062.31999999995</v>
      </c>
    </row>
    <row r="7" spans="1:2">
      <c r="A7" t="s">
        <v>6</v>
      </c>
      <c r="B7" s="1">
        <v>284223.5</v>
      </c>
    </row>
    <row r="8" spans="1:2">
      <c r="A8" t="s">
        <v>7</v>
      </c>
      <c r="B8" s="1">
        <v>116063.6</v>
      </c>
    </row>
    <row r="9" spans="1:2">
      <c r="A9" t="s">
        <v>8</v>
      </c>
      <c r="B9" s="1">
        <v>295763.59999999998</v>
      </c>
    </row>
    <row r="10" spans="1:2">
      <c r="A10" t="s">
        <v>9</v>
      </c>
      <c r="B10" s="1">
        <v>471885.5</v>
      </c>
    </row>
    <row r="11" spans="1:2">
      <c r="A11" t="s">
        <v>10</v>
      </c>
      <c r="B11" s="1">
        <v>836345.72</v>
      </c>
    </row>
    <row r="12" spans="1:2">
      <c r="A12" t="s">
        <v>11</v>
      </c>
      <c r="B12" s="1">
        <v>161139.95000000001</v>
      </c>
    </row>
    <row r="13" spans="1:2">
      <c r="A13" t="s">
        <v>12</v>
      </c>
      <c r="B13" s="1">
        <v>392505.59999999998</v>
      </c>
    </row>
    <row r="14" spans="1:2">
      <c r="A14" t="s">
        <v>13</v>
      </c>
      <c r="B14" s="1">
        <v>156309.62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66A8-E408-354A-A279-F9C07CA9BECB}">
  <dimension ref="A1:L287"/>
  <sheetViews>
    <sheetView zoomScale="171" zoomScaleNormal="125" workbookViewId="0">
      <selection activeCell="E77" sqref="E77"/>
    </sheetView>
  </sheetViews>
  <sheetFormatPr baseColWidth="10" defaultRowHeight="16"/>
  <cols>
    <col min="9" max="9" width="13.6640625" customWidth="1"/>
    <col min="12" max="12" width="13.5" customWidth="1"/>
  </cols>
  <sheetData>
    <row r="1" spans="1:12" ht="34">
      <c r="A1" s="37" t="s">
        <v>170</v>
      </c>
      <c r="B1" s="37" t="s">
        <v>309</v>
      </c>
      <c r="C1" s="31" t="s">
        <v>310</v>
      </c>
      <c r="D1" s="31" t="s">
        <v>311</v>
      </c>
      <c r="E1" s="31" t="s">
        <v>312</v>
      </c>
      <c r="F1" s="31" t="s">
        <v>313</v>
      </c>
      <c r="G1" s="31" t="s">
        <v>314</v>
      </c>
      <c r="H1" s="31" t="s">
        <v>315</v>
      </c>
      <c r="I1" s="31" t="s">
        <v>316</v>
      </c>
      <c r="J1" s="31" t="s">
        <v>317</v>
      </c>
      <c r="K1" s="31" t="s">
        <v>318</v>
      </c>
      <c r="L1" s="31" t="s">
        <v>319</v>
      </c>
    </row>
    <row r="2" spans="1:12">
      <c r="A2" s="35" t="s">
        <v>0</v>
      </c>
      <c r="B2" s="39">
        <v>2012</v>
      </c>
      <c r="C2" s="32" t="s">
        <v>322</v>
      </c>
      <c r="D2" s="32">
        <v>2009</v>
      </c>
      <c r="E2" s="32">
        <v>2013</v>
      </c>
      <c r="F2" s="32" t="s">
        <v>321</v>
      </c>
      <c r="G2" s="32" t="s">
        <v>323</v>
      </c>
      <c r="H2" s="38">
        <v>1957</v>
      </c>
      <c r="I2" s="32" t="s">
        <v>324</v>
      </c>
      <c r="J2" s="32" t="s">
        <v>325</v>
      </c>
      <c r="K2" s="32" t="s">
        <v>326</v>
      </c>
      <c r="L2" s="32" t="s">
        <v>327</v>
      </c>
    </row>
    <row r="3" spans="1:12">
      <c r="A3" s="35" t="s">
        <v>0</v>
      </c>
      <c r="B3" s="39">
        <v>2012</v>
      </c>
      <c r="C3" s="32" t="s">
        <v>328</v>
      </c>
      <c r="D3" s="32">
        <v>2011</v>
      </c>
      <c r="E3" s="32">
        <v>2015</v>
      </c>
      <c r="F3" s="32" t="s">
        <v>320</v>
      </c>
      <c r="G3" s="32" t="s">
        <v>323</v>
      </c>
      <c r="H3" s="38">
        <v>1962</v>
      </c>
      <c r="I3" s="32" t="s">
        <v>329</v>
      </c>
      <c r="J3" s="32" t="s">
        <v>325</v>
      </c>
      <c r="K3" s="32" t="s">
        <v>330</v>
      </c>
      <c r="L3" s="32" t="s">
        <v>331</v>
      </c>
    </row>
    <row r="4" spans="1:12">
      <c r="A4" s="35" t="s">
        <v>0</v>
      </c>
      <c r="B4" s="39">
        <v>2013</v>
      </c>
      <c r="C4" s="32" t="s">
        <v>326</v>
      </c>
      <c r="D4" s="32">
        <v>2013</v>
      </c>
      <c r="E4" s="32">
        <v>2018</v>
      </c>
      <c r="F4" s="32" t="s">
        <v>321</v>
      </c>
      <c r="G4" s="32" t="s">
        <v>323</v>
      </c>
      <c r="H4" s="38">
        <v>1964</v>
      </c>
      <c r="I4" s="32" t="s">
        <v>327</v>
      </c>
      <c r="J4" s="32" t="s">
        <v>325</v>
      </c>
      <c r="K4" s="32" t="s">
        <v>333</v>
      </c>
      <c r="L4" s="32" t="s">
        <v>334</v>
      </c>
    </row>
    <row r="5" spans="1:12">
      <c r="A5" s="35" t="s">
        <v>0</v>
      </c>
      <c r="B5" s="39">
        <v>2013</v>
      </c>
      <c r="C5" s="32" t="s">
        <v>328</v>
      </c>
      <c r="D5" s="32">
        <v>2011</v>
      </c>
      <c r="E5" s="32">
        <v>2015</v>
      </c>
      <c r="F5" s="32" t="s">
        <v>320</v>
      </c>
      <c r="G5" s="32" t="s">
        <v>323</v>
      </c>
      <c r="H5" s="38">
        <v>1962</v>
      </c>
      <c r="I5" s="32" t="s">
        <v>329</v>
      </c>
      <c r="J5" s="32" t="s">
        <v>325</v>
      </c>
      <c r="K5" s="32" t="s">
        <v>330</v>
      </c>
      <c r="L5" s="32" t="s">
        <v>331</v>
      </c>
    </row>
    <row r="6" spans="1:12">
      <c r="A6" s="35" t="s">
        <v>0</v>
      </c>
      <c r="B6" s="39">
        <v>2014</v>
      </c>
      <c r="C6" s="32" t="s">
        <v>326</v>
      </c>
      <c r="D6" s="32">
        <v>2013</v>
      </c>
      <c r="E6" s="32">
        <v>2018</v>
      </c>
      <c r="F6" s="32" t="s">
        <v>321</v>
      </c>
      <c r="G6" s="32" t="s">
        <v>323</v>
      </c>
      <c r="H6" s="38">
        <v>1964</v>
      </c>
      <c r="I6" s="32" t="s">
        <v>327</v>
      </c>
      <c r="J6" s="32" t="s">
        <v>325</v>
      </c>
      <c r="K6" s="32" t="s">
        <v>333</v>
      </c>
      <c r="L6" s="32" t="s">
        <v>334</v>
      </c>
    </row>
    <row r="7" spans="1:12">
      <c r="A7" s="35" t="s">
        <v>0</v>
      </c>
      <c r="B7" s="39">
        <v>2014</v>
      </c>
      <c r="C7" s="32" t="s">
        <v>328</v>
      </c>
      <c r="D7" s="32">
        <v>2011</v>
      </c>
      <c r="E7" s="32">
        <v>2015</v>
      </c>
      <c r="F7" s="32" t="s">
        <v>320</v>
      </c>
      <c r="G7" s="32" t="s">
        <v>323</v>
      </c>
      <c r="H7" s="38">
        <v>1962</v>
      </c>
      <c r="I7" s="32" t="s">
        <v>329</v>
      </c>
      <c r="J7" s="32" t="s">
        <v>325</v>
      </c>
      <c r="K7" s="32" t="s">
        <v>330</v>
      </c>
      <c r="L7" s="32" t="s">
        <v>331</v>
      </c>
    </row>
    <row r="8" spans="1:12">
      <c r="A8" s="36" t="s">
        <v>0</v>
      </c>
      <c r="B8" s="39">
        <v>2015</v>
      </c>
      <c r="C8" s="32" t="s">
        <v>326</v>
      </c>
      <c r="D8" s="32">
        <v>2013</v>
      </c>
      <c r="E8" s="32">
        <v>2018</v>
      </c>
      <c r="F8" s="32" t="s">
        <v>321</v>
      </c>
      <c r="G8" s="32" t="s">
        <v>323</v>
      </c>
      <c r="H8" s="38">
        <v>1964</v>
      </c>
      <c r="I8" s="32" t="s">
        <v>327</v>
      </c>
      <c r="J8" s="32" t="s">
        <v>325</v>
      </c>
      <c r="K8" s="32" t="s">
        <v>333</v>
      </c>
      <c r="L8" s="32" t="s">
        <v>334</v>
      </c>
    </row>
    <row r="9" spans="1:12">
      <c r="A9" s="36" t="s">
        <v>0</v>
      </c>
      <c r="B9" s="39">
        <v>2015</v>
      </c>
      <c r="C9" s="32" t="s">
        <v>330</v>
      </c>
      <c r="D9" s="32">
        <v>2015</v>
      </c>
      <c r="E9" s="32">
        <v>2016</v>
      </c>
      <c r="F9" s="32" t="s">
        <v>320</v>
      </c>
      <c r="G9" s="32" t="s">
        <v>335</v>
      </c>
      <c r="H9" s="38">
        <v>1962</v>
      </c>
      <c r="I9" s="32" t="s">
        <v>331</v>
      </c>
      <c r="J9" s="32" t="s">
        <v>325</v>
      </c>
      <c r="K9" s="32" t="s">
        <v>336</v>
      </c>
      <c r="L9" s="32" t="s">
        <v>332</v>
      </c>
    </row>
    <row r="10" spans="1:12">
      <c r="A10" s="36" t="s">
        <v>0</v>
      </c>
      <c r="B10" s="39">
        <v>2016</v>
      </c>
      <c r="C10" s="32" t="s">
        <v>326</v>
      </c>
      <c r="D10" s="32">
        <v>2013</v>
      </c>
      <c r="E10" s="32">
        <v>2018</v>
      </c>
      <c r="F10" s="32" t="s">
        <v>321</v>
      </c>
      <c r="G10" s="32" t="s">
        <v>323</v>
      </c>
      <c r="H10" s="38">
        <v>1964</v>
      </c>
      <c r="I10" s="32" t="s">
        <v>327</v>
      </c>
      <c r="J10" s="32" t="s">
        <v>325</v>
      </c>
      <c r="K10" s="32" t="s">
        <v>333</v>
      </c>
      <c r="L10" s="32" t="s">
        <v>334</v>
      </c>
    </row>
    <row r="11" spans="1:12">
      <c r="A11" s="36" t="s">
        <v>0</v>
      </c>
      <c r="B11" s="39">
        <v>2016</v>
      </c>
      <c r="C11" s="32" t="s">
        <v>336</v>
      </c>
      <c r="D11" s="32">
        <v>2016</v>
      </c>
      <c r="E11" s="32">
        <v>2017</v>
      </c>
      <c r="F11" s="32" t="s">
        <v>320</v>
      </c>
      <c r="G11" s="32" t="s">
        <v>323</v>
      </c>
      <c r="H11" s="38">
        <v>1964</v>
      </c>
      <c r="I11" s="32" t="s">
        <v>332</v>
      </c>
      <c r="J11" s="32" t="s">
        <v>340</v>
      </c>
      <c r="K11" s="32" t="s">
        <v>341</v>
      </c>
      <c r="L11" s="32" t="s">
        <v>342</v>
      </c>
    </row>
    <row r="12" spans="1:12">
      <c r="A12" s="36" t="s">
        <v>0</v>
      </c>
      <c r="B12" s="39">
        <v>2017</v>
      </c>
      <c r="C12" s="32" t="s">
        <v>326</v>
      </c>
      <c r="D12" s="32">
        <v>2013</v>
      </c>
      <c r="E12" s="32">
        <v>2018</v>
      </c>
      <c r="F12" s="32" t="s">
        <v>321</v>
      </c>
      <c r="G12" s="32" t="s">
        <v>323</v>
      </c>
      <c r="H12" s="38">
        <v>1964</v>
      </c>
      <c r="I12" s="32" t="s">
        <v>327</v>
      </c>
      <c r="J12" s="32" t="s">
        <v>325</v>
      </c>
      <c r="K12" s="32" t="s">
        <v>333</v>
      </c>
      <c r="L12" s="32" t="s">
        <v>334</v>
      </c>
    </row>
    <row r="13" spans="1:12">
      <c r="A13" s="36" t="s">
        <v>0</v>
      </c>
      <c r="B13" s="39">
        <v>2017</v>
      </c>
      <c r="C13" s="32" t="s">
        <v>341</v>
      </c>
      <c r="D13" s="32">
        <v>2017</v>
      </c>
      <c r="E13" s="32">
        <v>2021</v>
      </c>
      <c r="F13" s="32" t="s">
        <v>320</v>
      </c>
      <c r="G13" s="32" t="s">
        <v>323</v>
      </c>
      <c r="H13" s="38">
        <v>1962</v>
      </c>
      <c r="I13" s="32" t="s">
        <v>342</v>
      </c>
      <c r="J13" s="32" t="s">
        <v>340</v>
      </c>
      <c r="K13" s="32" t="s">
        <v>337</v>
      </c>
      <c r="L13" s="32" t="s">
        <v>329</v>
      </c>
    </row>
    <row r="14" spans="1:12">
      <c r="A14" s="36" t="s">
        <v>0</v>
      </c>
      <c r="B14" s="39">
        <v>2018</v>
      </c>
      <c r="C14" s="32" t="s">
        <v>333</v>
      </c>
      <c r="D14" s="32">
        <v>2018</v>
      </c>
      <c r="E14" s="32">
        <v>2019</v>
      </c>
      <c r="F14" s="32" t="s">
        <v>321</v>
      </c>
      <c r="G14" s="32" t="s">
        <v>323</v>
      </c>
      <c r="H14" s="38">
        <v>1964</v>
      </c>
      <c r="I14" s="32" t="s">
        <v>334</v>
      </c>
      <c r="J14" s="32" t="s">
        <v>325</v>
      </c>
      <c r="K14" s="32" t="s">
        <v>337</v>
      </c>
      <c r="L14" s="32" t="s">
        <v>329</v>
      </c>
    </row>
    <row r="15" spans="1:12">
      <c r="A15" s="36" t="s">
        <v>0</v>
      </c>
      <c r="B15" s="39">
        <v>2018</v>
      </c>
      <c r="C15" s="32" t="s">
        <v>341</v>
      </c>
      <c r="D15" s="32">
        <v>2017</v>
      </c>
      <c r="E15" s="32">
        <v>2021</v>
      </c>
      <c r="F15" s="32" t="s">
        <v>320</v>
      </c>
      <c r="G15" s="32" t="s">
        <v>323</v>
      </c>
      <c r="H15" s="38">
        <v>1962</v>
      </c>
      <c r="I15" s="32" t="s">
        <v>342</v>
      </c>
      <c r="J15" s="32" t="s">
        <v>340</v>
      </c>
      <c r="K15" s="32" t="s">
        <v>337</v>
      </c>
      <c r="L15" s="32" t="s">
        <v>329</v>
      </c>
    </row>
    <row r="16" spans="1:12">
      <c r="A16" s="36" t="s">
        <v>0</v>
      </c>
      <c r="B16" s="39">
        <v>2019</v>
      </c>
      <c r="C16" s="32" t="s">
        <v>337</v>
      </c>
      <c r="D16" s="32">
        <v>2019</v>
      </c>
      <c r="E16" s="32">
        <v>2021</v>
      </c>
      <c r="F16" s="32" t="s">
        <v>321</v>
      </c>
      <c r="G16" s="32" t="s">
        <v>335</v>
      </c>
      <c r="H16" s="38">
        <v>1964</v>
      </c>
      <c r="I16" s="32" t="s">
        <v>329</v>
      </c>
      <c r="J16" s="32" t="s">
        <v>325</v>
      </c>
      <c r="K16" s="32" t="s">
        <v>338</v>
      </c>
      <c r="L16" s="32" t="s">
        <v>339</v>
      </c>
    </row>
    <row r="17" spans="1:12">
      <c r="A17" s="36" t="s">
        <v>0</v>
      </c>
      <c r="B17" s="39">
        <v>2019</v>
      </c>
      <c r="C17" s="32" t="s">
        <v>341</v>
      </c>
      <c r="D17" s="32">
        <v>2017</v>
      </c>
      <c r="E17" s="32">
        <v>2021</v>
      </c>
      <c r="F17" s="32" t="s">
        <v>320</v>
      </c>
      <c r="G17" s="32" t="s">
        <v>323</v>
      </c>
      <c r="H17" s="38">
        <v>1962</v>
      </c>
      <c r="I17" s="32" t="s">
        <v>342</v>
      </c>
      <c r="J17" s="32" t="s">
        <v>340</v>
      </c>
      <c r="K17" s="32" t="s">
        <v>337</v>
      </c>
      <c r="L17" s="32" t="s">
        <v>329</v>
      </c>
    </row>
    <row r="18" spans="1:12">
      <c r="A18" s="36" t="s">
        <v>0</v>
      </c>
      <c r="B18" s="39">
        <v>2020</v>
      </c>
      <c r="C18" s="32" t="s">
        <v>337</v>
      </c>
      <c r="D18" s="32">
        <v>2019</v>
      </c>
      <c r="E18" s="32">
        <v>2021</v>
      </c>
      <c r="F18" s="32" t="s">
        <v>321</v>
      </c>
      <c r="G18" s="32" t="s">
        <v>335</v>
      </c>
      <c r="H18" s="38">
        <v>1964</v>
      </c>
      <c r="I18" s="32" t="s">
        <v>329</v>
      </c>
      <c r="J18" s="32" t="s">
        <v>325</v>
      </c>
      <c r="K18" s="32" t="s">
        <v>338</v>
      </c>
      <c r="L18" s="32" t="s">
        <v>339</v>
      </c>
    </row>
    <row r="19" spans="1:12">
      <c r="A19" s="36" t="s">
        <v>0</v>
      </c>
      <c r="B19" s="39">
        <v>2020</v>
      </c>
      <c r="C19" s="32" t="s">
        <v>341</v>
      </c>
      <c r="D19" s="32">
        <v>2017</v>
      </c>
      <c r="E19" s="32">
        <v>2021</v>
      </c>
      <c r="F19" s="32" t="s">
        <v>320</v>
      </c>
      <c r="G19" s="32" t="s">
        <v>323</v>
      </c>
      <c r="H19" s="38">
        <v>1962</v>
      </c>
      <c r="I19" s="32" t="s">
        <v>342</v>
      </c>
      <c r="J19" s="32" t="s">
        <v>340</v>
      </c>
      <c r="K19" s="32" t="s">
        <v>337</v>
      </c>
      <c r="L19" s="32" t="s">
        <v>329</v>
      </c>
    </row>
    <row r="20" spans="1:12">
      <c r="A20" s="36" t="s">
        <v>0</v>
      </c>
      <c r="B20" s="39">
        <v>2021</v>
      </c>
      <c r="C20" s="32" t="s">
        <v>337</v>
      </c>
      <c r="D20" s="32">
        <v>2019</v>
      </c>
      <c r="E20" s="32">
        <v>2021</v>
      </c>
      <c r="F20" s="32" t="s">
        <v>321</v>
      </c>
      <c r="G20" s="32" t="s">
        <v>335</v>
      </c>
      <c r="H20" s="38">
        <v>1964</v>
      </c>
      <c r="I20" s="32" t="s">
        <v>329</v>
      </c>
      <c r="J20" s="32" t="s">
        <v>325</v>
      </c>
      <c r="K20" s="32" t="s">
        <v>338</v>
      </c>
      <c r="L20" s="32" t="s">
        <v>339</v>
      </c>
    </row>
    <row r="21" spans="1:12">
      <c r="A21" s="36" t="s">
        <v>0</v>
      </c>
      <c r="B21" s="39">
        <v>2021</v>
      </c>
      <c r="C21" s="32" t="s">
        <v>341</v>
      </c>
      <c r="D21" s="32">
        <v>2017</v>
      </c>
      <c r="E21" s="32">
        <v>2021</v>
      </c>
      <c r="F21" s="32" t="s">
        <v>320</v>
      </c>
      <c r="G21" s="32" t="s">
        <v>323</v>
      </c>
      <c r="H21" s="38">
        <v>1962</v>
      </c>
      <c r="I21" s="32" t="s">
        <v>342</v>
      </c>
      <c r="J21" s="32" t="s">
        <v>340</v>
      </c>
      <c r="K21" s="32" t="s">
        <v>337</v>
      </c>
      <c r="L21" s="32" t="s">
        <v>329</v>
      </c>
    </row>
    <row r="22" spans="1:12">
      <c r="A22" s="36" t="s">
        <v>0</v>
      </c>
      <c r="B22" s="39">
        <v>2022</v>
      </c>
      <c r="C22" s="35"/>
      <c r="D22" s="35"/>
      <c r="E22" s="35"/>
      <c r="F22" s="35" t="s">
        <v>321</v>
      </c>
      <c r="G22" s="35"/>
      <c r="H22" s="39"/>
      <c r="I22" s="35"/>
      <c r="J22" s="35"/>
      <c r="K22" s="35"/>
      <c r="L22" s="35"/>
    </row>
    <row r="23" spans="1:12">
      <c r="A23" s="36" t="s">
        <v>0</v>
      </c>
      <c r="B23" s="39">
        <v>2022</v>
      </c>
      <c r="C23" s="35"/>
      <c r="D23" s="35"/>
      <c r="E23" s="35"/>
      <c r="F23" s="35" t="s">
        <v>320</v>
      </c>
      <c r="G23" s="35"/>
      <c r="H23" s="39"/>
      <c r="I23" s="35"/>
      <c r="J23" s="35"/>
      <c r="K23" s="35"/>
      <c r="L23" s="35"/>
    </row>
    <row r="24" spans="1:12">
      <c r="A24" s="35" t="s">
        <v>2</v>
      </c>
      <c r="B24" s="39">
        <v>2012</v>
      </c>
      <c r="C24" s="32" t="s">
        <v>343</v>
      </c>
      <c r="D24" s="32">
        <v>2011</v>
      </c>
      <c r="E24" s="32">
        <v>2016</v>
      </c>
      <c r="F24" s="32" t="s">
        <v>321</v>
      </c>
      <c r="G24" s="32" t="s">
        <v>323</v>
      </c>
      <c r="H24" s="38">
        <v>1964</v>
      </c>
      <c r="I24" s="32" t="s">
        <v>324</v>
      </c>
      <c r="J24" s="32" t="s">
        <v>340</v>
      </c>
      <c r="K24" s="32" t="s">
        <v>337</v>
      </c>
      <c r="L24" s="32" t="s">
        <v>329</v>
      </c>
    </row>
    <row r="25" spans="1:12">
      <c r="A25" s="35" t="s">
        <v>2</v>
      </c>
      <c r="B25" s="39">
        <v>2012</v>
      </c>
      <c r="C25" s="32" t="s">
        <v>349</v>
      </c>
      <c r="D25" s="32">
        <v>2011</v>
      </c>
      <c r="E25" s="32">
        <v>2016</v>
      </c>
      <c r="F25" s="32" t="s">
        <v>320</v>
      </c>
      <c r="G25" s="32" t="s">
        <v>323</v>
      </c>
      <c r="H25" s="38">
        <v>1955</v>
      </c>
      <c r="I25" s="32" t="s">
        <v>350</v>
      </c>
      <c r="J25" s="32" t="s">
        <v>325</v>
      </c>
      <c r="K25" s="32" t="s">
        <v>351</v>
      </c>
      <c r="L25" s="32" t="s">
        <v>352</v>
      </c>
    </row>
    <row r="26" spans="1:12">
      <c r="A26" s="35" t="s">
        <v>2</v>
      </c>
      <c r="B26" s="39">
        <v>2013</v>
      </c>
      <c r="C26" s="32" t="s">
        <v>343</v>
      </c>
      <c r="D26" s="32">
        <v>2011</v>
      </c>
      <c r="E26" s="32">
        <v>2016</v>
      </c>
      <c r="F26" s="32" t="s">
        <v>321</v>
      </c>
      <c r="G26" s="32" t="s">
        <v>323</v>
      </c>
      <c r="H26" s="38">
        <v>1964</v>
      </c>
      <c r="I26" s="32" t="s">
        <v>324</v>
      </c>
      <c r="J26" s="32" t="s">
        <v>340</v>
      </c>
      <c r="K26" s="32" t="s">
        <v>337</v>
      </c>
      <c r="L26" s="32" t="s">
        <v>329</v>
      </c>
    </row>
    <row r="27" spans="1:12">
      <c r="A27" s="35" t="s">
        <v>2</v>
      </c>
      <c r="B27" s="39">
        <v>2013</v>
      </c>
      <c r="C27" s="32" t="s">
        <v>349</v>
      </c>
      <c r="D27" s="32">
        <v>2011</v>
      </c>
      <c r="E27" s="32">
        <v>2016</v>
      </c>
      <c r="F27" s="32" t="s">
        <v>320</v>
      </c>
      <c r="G27" s="32" t="s">
        <v>323</v>
      </c>
      <c r="H27" s="38">
        <v>1955</v>
      </c>
      <c r="I27" s="32" t="s">
        <v>350</v>
      </c>
      <c r="J27" s="32" t="s">
        <v>325</v>
      </c>
      <c r="K27" s="32" t="s">
        <v>351</v>
      </c>
      <c r="L27" s="32" t="s">
        <v>352</v>
      </c>
    </row>
    <row r="28" spans="1:12">
      <c r="A28" s="35" t="s">
        <v>2</v>
      </c>
      <c r="B28" s="39">
        <v>2014</v>
      </c>
      <c r="C28" s="32" t="s">
        <v>343</v>
      </c>
      <c r="D28" s="32">
        <v>2011</v>
      </c>
      <c r="E28" s="32">
        <v>2016</v>
      </c>
      <c r="F28" s="32" t="s">
        <v>321</v>
      </c>
      <c r="G28" s="32" t="s">
        <v>323</v>
      </c>
      <c r="H28" s="38">
        <v>1964</v>
      </c>
      <c r="I28" s="32" t="s">
        <v>324</v>
      </c>
      <c r="J28" s="32" t="s">
        <v>340</v>
      </c>
      <c r="K28" s="32" t="s">
        <v>337</v>
      </c>
      <c r="L28" s="32" t="s">
        <v>329</v>
      </c>
    </row>
    <row r="29" spans="1:12">
      <c r="A29" s="35" t="s">
        <v>2</v>
      </c>
      <c r="B29" s="39">
        <v>2014</v>
      </c>
      <c r="C29" s="32" t="s">
        <v>349</v>
      </c>
      <c r="D29" s="32">
        <v>2011</v>
      </c>
      <c r="E29" s="32">
        <v>2016</v>
      </c>
      <c r="F29" s="32" t="s">
        <v>320</v>
      </c>
      <c r="G29" s="32" t="s">
        <v>323</v>
      </c>
      <c r="H29" s="38">
        <v>1955</v>
      </c>
      <c r="I29" s="32" t="s">
        <v>350</v>
      </c>
      <c r="J29" s="32" t="s">
        <v>325</v>
      </c>
      <c r="K29" s="32" t="s">
        <v>351</v>
      </c>
      <c r="L29" s="32" t="s">
        <v>352</v>
      </c>
    </row>
    <row r="30" spans="1:12">
      <c r="A30" s="36" t="s">
        <v>2</v>
      </c>
      <c r="B30" s="39">
        <v>2015</v>
      </c>
      <c r="C30" s="32" t="s">
        <v>343</v>
      </c>
      <c r="D30" s="32">
        <v>2011</v>
      </c>
      <c r="E30" s="32">
        <v>2016</v>
      </c>
      <c r="F30" s="32" t="s">
        <v>321</v>
      </c>
      <c r="G30" s="32" t="s">
        <v>323</v>
      </c>
      <c r="H30" s="38">
        <v>1964</v>
      </c>
      <c r="I30" s="32" t="s">
        <v>324</v>
      </c>
      <c r="J30" s="32" t="s">
        <v>340</v>
      </c>
      <c r="K30" s="32" t="s">
        <v>337</v>
      </c>
      <c r="L30" s="32" t="s">
        <v>329</v>
      </c>
    </row>
    <row r="31" spans="1:12">
      <c r="A31" s="36" t="s">
        <v>2</v>
      </c>
      <c r="B31" s="39">
        <v>2015</v>
      </c>
      <c r="C31" s="32" t="s">
        <v>349</v>
      </c>
      <c r="D31" s="32">
        <v>2011</v>
      </c>
      <c r="E31" s="32">
        <v>2016</v>
      </c>
      <c r="F31" s="32" t="s">
        <v>320</v>
      </c>
      <c r="G31" s="32" t="s">
        <v>323</v>
      </c>
      <c r="H31" s="38">
        <v>1955</v>
      </c>
      <c r="I31" s="32" t="s">
        <v>350</v>
      </c>
      <c r="J31" s="32" t="s">
        <v>325</v>
      </c>
      <c r="K31" s="32" t="s">
        <v>351</v>
      </c>
      <c r="L31" s="32" t="s">
        <v>352</v>
      </c>
    </row>
    <row r="32" spans="1:12">
      <c r="A32" s="36" t="s">
        <v>2</v>
      </c>
      <c r="B32" s="39">
        <v>2016</v>
      </c>
      <c r="C32" s="32" t="s">
        <v>337</v>
      </c>
      <c r="D32" s="32">
        <v>2016</v>
      </c>
      <c r="E32" s="32">
        <v>2018</v>
      </c>
      <c r="F32" s="32" t="s">
        <v>321</v>
      </c>
      <c r="G32" s="32" t="s">
        <v>335</v>
      </c>
      <c r="H32" s="38">
        <v>1964</v>
      </c>
      <c r="I32" s="32" t="s">
        <v>329</v>
      </c>
      <c r="J32" s="32" t="s">
        <v>325</v>
      </c>
      <c r="K32" s="32" t="s">
        <v>344</v>
      </c>
      <c r="L32" s="32" t="s">
        <v>324</v>
      </c>
    </row>
    <row r="33" spans="1:12">
      <c r="A33" s="36" t="s">
        <v>2</v>
      </c>
      <c r="B33" s="39">
        <v>2016</v>
      </c>
      <c r="C33" s="32" t="s">
        <v>351</v>
      </c>
      <c r="D33" s="32">
        <v>2016</v>
      </c>
      <c r="E33" s="32">
        <v>2019</v>
      </c>
      <c r="F33" s="32" t="s">
        <v>320</v>
      </c>
      <c r="G33" s="32" t="s">
        <v>323</v>
      </c>
      <c r="H33" s="38">
        <v>1964</v>
      </c>
      <c r="I33" s="32" t="s">
        <v>352</v>
      </c>
      <c r="J33" s="32" t="s">
        <v>325</v>
      </c>
      <c r="K33" s="32" t="s">
        <v>344</v>
      </c>
      <c r="L33" s="32" t="s">
        <v>324</v>
      </c>
    </row>
    <row r="34" spans="1:12">
      <c r="A34" s="36" t="s">
        <v>2</v>
      </c>
      <c r="B34" s="39">
        <v>2017</v>
      </c>
      <c r="C34" s="32" t="s">
        <v>337</v>
      </c>
      <c r="D34" s="32">
        <v>2016</v>
      </c>
      <c r="E34" s="32">
        <v>2018</v>
      </c>
      <c r="F34" s="32" t="s">
        <v>321</v>
      </c>
      <c r="G34" s="32" t="s">
        <v>335</v>
      </c>
      <c r="H34" s="38">
        <v>1964</v>
      </c>
      <c r="I34" s="32" t="s">
        <v>329</v>
      </c>
      <c r="J34" s="32" t="s">
        <v>325</v>
      </c>
      <c r="K34" s="32" t="s">
        <v>344</v>
      </c>
      <c r="L34" s="32" t="s">
        <v>324</v>
      </c>
    </row>
    <row r="35" spans="1:12">
      <c r="A35" s="36" t="s">
        <v>2</v>
      </c>
      <c r="B35" s="39">
        <v>2017</v>
      </c>
      <c r="C35" s="32" t="s">
        <v>351</v>
      </c>
      <c r="D35" s="32">
        <v>2016</v>
      </c>
      <c r="E35" s="32">
        <v>2019</v>
      </c>
      <c r="F35" s="32" t="s">
        <v>320</v>
      </c>
      <c r="G35" s="32" t="s">
        <v>323</v>
      </c>
      <c r="H35" s="38">
        <v>1964</v>
      </c>
      <c r="I35" s="32" t="s">
        <v>352</v>
      </c>
      <c r="J35" s="32" t="s">
        <v>325</v>
      </c>
      <c r="K35" s="32" t="s">
        <v>344</v>
      </c>
      <c r="L35" s="32" t="s">
        <v>324</v>
      </c>
    </row>
    <row r="36" spans="1:12">
      <c r="A36" s="36" t="s">
        <v>2</v>
      </c>
      <c r="B36" s="39">
        <v>2018</v>
      </c>
      <c r="C36" s="32" t="s">
        <v>344</v>
      </c>
      <c r="D36" s="32">
        <v>2018</v>
      </c>
      <c r="E36" s="32">
        <v>2019</v>
      </c>
      <c r="F36" s="32" t="s">
        <v>321</v>
      </c>
      <c r="G36" s="32" t="s">
        <v>323</v>
      </c>
      <c r="H36" s="38">
        <v>1963</v>
      </c>
      <c r="I36" s="32" t="s">
        <v>324</v>
      </c>
      <c r="J36" s="32" t="s">
        <v>325</v>
      </c>
      <c r="K36" s="32" t="s">
        <v>345</v>
      </c>
      <c r="L36" s="32" t="s">
        <v>346</v>
      </c>
    </row>
    <row r="37" spans="1:12">
      <c r="A37" s="36" t="s">
        <v>2</v>
      </c>
      <c r="B37" s="39">
        <v>2018</v>
      </c>
      <c r="C37" s="32" t="s">
        <v>351</v>
      </c>
      <c r="D37" s="32">
        <v>2016</v>
      </c>
      <c r="E37" s="32">
        <v>2019</v>
      </c>
      <c r="F37" s="32" t="s">
        <v>320</v>
      </c>
      <c r="G37" s="32" t="s">
        <v>323</v>
      </c>
      <c r="H37" s="38">
        <v>1964</v>
      </c>
      <c r="I37" s="32" t="s">
        <v>352</v>
      </c>
      <c r="J37" s="32" t="s">
        <v>325</v>
      </c>
      <c r="K37" s="32" t="s">
        <v>344</v>
      </c>
      <c r="L37" s="32" t="s">
        <v>324</v>
      </c>
    </row>
    <row r="38" spans="1:12">
      <c r="A38" s="36" t="s">
        <v>2</v>
      </c>
      <c r="B38" s="39">
        <v>2019</v>
      </c>
      <c r="C38" s="32" t="s">
        <v>345</v>
      </c>
      <c r="D38" s="32">
        <v>2019</v>
      </c>
      <c r="E38" s="32">
        <v>2021</v>
      </c>
      <c r="F38" s="32" t="s">
        <v>321</v>
      </c>
      <c r="G38" s="32" t="s">
        <v>323</v>
      </c>
      <c r="H38" s="38">
        <v>1968</v>
      </c>
      <c r="I38" s="32" t="s">
        <v>346</v>
      </c>
      <c r="J38" s="32" t="s">
        <v>325</v>
      </c>
      <c r="K38" s="32" t="s">
        <v>347</v>
      </c>
      <c r="L38" s="32" t="s">
        <v>348</v>
      </c>
    </row>
    <row r="39" spans="1:12">
      <c r="A39" s="36" t="s">
        <v>2</v>
      </c>
      <c r="B39" s="39">
        <v>2019</v>
      </c>
      <c r="C39" s="32" t="s">
        <v>344</v>
      </c>
      <c r="D39" s="32">
        <v>2019</v>
      </c>
      <c r="E39" s="32">
        <v>2021</v>
      </c>
      <c r="F39" s="32" t="s">
        <v>320</v>
      </c>
      <c r="G39" s="32" t="s">
        <v>323</v>
      </c>
      <c r="H39" s="38">
        <v>1963</v>
      </c>
      <c r="I39" s="32" t="s">
        <v>324</v>
      </c>
      <c r="J39" s="32" t="s">
        <v>325</v>
      </c>
      <c r="K39" s="32" t="s">
        <v>345</v>
      </c>
      <c r="L39" s="32" t="s">
        <v>346</v>
      </c>
    </row>
    <row r="40" spans="1:12">
      <c r="A40" s="36" t="s">
        <v>2</v>
      </c>
      <c r="B40" s="39">
        <v>2020</v>
      </c>
      <c r="C40" s="32" t="s">
        <v>345</v>
      </c>
      <c r="D40" s="32">
        <v>2019</v>
      </c>
      <c r="E40" s="32">
        <v>2021</v>
      </c>
      <c r="F40" s="32" t="s">
        <v>321</v>
      </c>
      <c r="G40" s="32" t="s">
        <v>323</v>
      </c>
      <c r="H40" s="38">
        <v>1968</v>
      </c>
      <c r="I40" s="32" t="s">
        <v>346</v>
      </c>
      <c r="J40" s="32" t="s">
        <v>325</v>
      </c>
      <c r="K40" s="32" t="s">
        <v>347</v>
      </c>
      <c r="L40" s="32" t="s">
        <v>348</v>
      </c>
    </row>
    <row r="41" spans="1:12">
      <c r="A41" s="36" t="s">
        <v>2</v>
      </c>
      <c r="B41" s="39">
        <v>2020</v>
      </c>
      <c r="C41" s="32" t="s">
        <v>344</v>
      </c>
      <c r="D41" s="32">
        <v>2019</v>
      </c>
      <c r="E41" s="32">
        <v>2021</v>
      </c>
      <c r="F41" s="32" t="s">
        <v>320</v>
      </c>
      <c r="G41" s="32" t="s">
        <v>323</v>
      </c>
      <c r="H41" s="38">
        <v>1963</v>
      </c>
      <c r="I41" s="32" t="s">
        <v>324</v>
      </c>
      <c r="J41" s="32" t="s">
        <v>325</v>
      </c>
      <c r="K41" s="32" t="s">
        <v>345</v>
      </c>
      <c r="L41" s="32" t="s">
        <v>346</v>
      </c>
    </row>
    <row r="42" spans="1:12">
      <c r="A42" s="36" t="s">
        <v>2</v>
      </c>
      <c r="B42" s="39">
        <v>2021</v>
      </c>
      <c r="C42" s="32" t="s">
        <v>345</v>
      </c>
      <c r="D42" s="32">
        <v>2019</v>
      </c>
      <c r="E42" s="32">
        <v>2021</v>
      </c>
      <c r="F42" s="32" t="s">
        <v>321</v>
      </c>
      <c r="G42" s="32" t="s">
        <v>323</v>
      </c>
      <c r="H42" s="38">
        <v>1968</v>
      </c>
      <c r="I42" s="32" t="s">
        <v>346</v>
      </c>
      <c r="J42" s="32" t="s">
        <v>325</v>
      </c>
      <c r="K42" s="32" t="s">
        <v>347</v>
      </c>
      <c r="L42" s="32" t="s">
        <v>348</v>
      </c>
    </row>
    <row r="43" spans="1:12">
      <c r="A43" s="36" t="s">
        <v>2</v>
      </c>
      <c r="B43" s="39">
        <v>2021</v>
      </c>
      <c r="C43" s="32" t="s">
        <v>344</v>
      </c>
      <c r="D43" s="32">
        <v>2019</v>
      </c>
      <c r="E43" s="32">
        <v>2021</v>
      </c>
      <c r="F43" s="32" t="s">
        <v>320</v>
      </c>
      <c r="G43" s="32" t="s">
        <v>323</v>
      </c>
      <c r="H43" s="38">
        <v>1963</v>
      </c>
      <c r="I43" s="32" t="s">
        <v>324</v>
      </c>
      <c r="J43" s="32" t="s">
        <v>325</v>
      </c>
      <c r="K43" s="32" t="s">
        <v>345</v>
      </c>
      <c r="L43" s="32" t="s">
        <v>346</v>
      </c>
    </row>
    <row r="44" spans="1:12">
      <c r="A44" s="36" t="s">
        <v>2</v>
      </c>
      <c r="B44" s="39">
        <v>2022</v>
      </c>
      <c r="C44" s="35"/>
      <c r="D44" s="35"/>
      <c r="E44" s="35"/>
      <c r="F44" s="35" t="s">
        <v>321</v>
      </c>
      <c r="G44" s="35"/>
      <c r="H44" s="39"/>
      <c r="I44" s="35"/>
      <c r="J44" s="35"/>
      <c r="K44" s="35"/>
      <c r="L44" s="35"/>
    </row>
    <row r="45" spans="1:12">
      <c r="A45" s="36" t="s">
        <v>2</v>
      </c>
      <c r="B45" s="39">
        <v>2022</v>
      </c>
      <c r="C45" s="35"/>
      <c r="D45" s="35"/>
      <c r="E45" s="35"/>
      <c r="F45" s="35" t="s">
        <v>320</v>
      </c>
      <c r="G45" s="35"/>
      <c r="H45" s="39"/>
      <c r="I45" s="35"/>
      <c r="J45" s="35"/>
      <c r="K45" s="35"/>
      <c r="L45" s="35"/>
    </row>
    <row r="46" spans="1:12">
      <c r="A46" s="35" t="s">
        <v>3</v>
      </c>
      <c r="B46" s="39">
        <v>2012</v>
      </c>
      <c r="C46" s="32" t="s">
        <v>333</v>
      </c>
      <c r="D46" s="32">
        <v>2011</v>
      </c>
      <c r="E46" s="32">
        <v>2013</v>
      </c>
      <c r="F46" s="32" t="s">
        <v>321</v>
      </c>
      <c r="G46" s="32" t="s">
        <v>323</v>
      </c>
      <c r="H46" s="38">
        <v>1964</v>
      </c>
      <c r="I46" s="32" t="s">
        <v>334</v>
      </c>
      <c r="J46" s="32" t="s">
        <v>325</v>
      </c>
      <c r="K46" s="32" t="s">
        <v>362</v>
      </c>
      <c r="L46" s="32" t="s">
        <v>361</v>
      </c>
    </row>
    <row r="47" spans="1:12">
      <c r="A47" s="35" t="s">
        <v>3</v>
      </c>
      <c r="B47" s="39">
        <v>2012</v>
      </c>
      <c r="C47" s="32" t="s">
        <v>326</v>
      </c>
      <c r="D47" s="32">
        <v>2011</v>
      </c>
      <c r="E47" s="32">
        <v>2013</v>
      </c>
      <c r="F47" s="32" t="s">
        <v>320</v>
      </c>
      <c r="G47" s="32" t="s">
        <v>323</v>
      </c>
      <c r="H47" s="38">
        <v>1964</v>
      </c>
      <c r="I47" s="32" t="s">
        <v>327</v>
      </c>
      <c r="J47" s="32" t="s">
        <v>325</v>
      </c>
      <c r="K47" s="32" t="s">
        <v>333</v>
      </c>
      <c r="L47" s="32" t="s">
        <v>334</v>
      </c>
    </row>
    <row r="48" spans="1:12">
      <c r="A48" s="35" t="s">
        <v>3</v>
      </c>
      <c r="B48" s="39">
        <v>2013</v>
      </c>
      <c r="C48" s="32" t="s">
        <v>362</v>
      </c>
      <c r="D48" s="32">
        <v>2013</v>
      </c>
      <c r="E48" s="32">
        <v>2018</v>
      </c>
      <c r="F48" s="32" t="s">
        <v>321</v>
      </c>
      <c r="G48" s="32" t="s">
        <v>323</v>
      </c>
      <c r="H48" s="38">
        <v>1968</v>
      </c>
      <c r="I48" s="32" t="s">
        <v>361</v>
      </c>
      <c r="J48" s="32" t="s">
        <v>325</v>
      </c>
      <c r="K48" s="32" t="s">
        <v>353</v>
      </c>
      <c r="L48" s="32" t="s">
        <v>361</v>
      </c>
    </row>
    <row r="49" spans="1:12">
      <c r="A49" s="35" t="s">
        <v>3</v>
      </c>
      <c r="B49" s="39">
        <v>2013</v>
      </c>
      <c r="C49" s="32" t="s">
        <v>333</v>
      </c>
      <c r="D49" s="32">
        <v>2013</v>
      </c>
      <c r="E49" s="32">
        <v>2014</v>
      </c>
      <c r="F49" s="32" t="s">
        <v>320</v>
      </c>
      <c r="G49" s="32" t="s">
        <v>323</v>
      </c>
      <c r="H49" s="38">
        <v>1964</v>
      </c>
      <c r="I49" s="32" t="s">
        <v>334</v>
      </c>
      <c r="J49" s="32" t="s">
        <v>325</v>
      </c>
      <c r="K49" s="32" t="s">
        <v>357</v>
      </c>
      <c r="L49" s="32" t="s">
        <v>358</v>
      </c>
    </row>
    <row r="50" spans="1:12">
      <c r="A50" s="35" t="s">
        <v>3</v>
      </c>
      <c r="B50" s="39">
        <v>2014</v>
      </c>
      <c r="C50" s="32" t="s">
        <v>362</v>
      </c>
      <c r="D50" s="32">
        <v>2013</v>
      </c>
      <c r="E50" s="32">
        <v>2018</v>
      </c>
      <c r="F50" s="32" t="s">
        <v>321</v>
      </c>
      <c r="G50" s="32" t="s">
        <v>323</v>
      </c>
      <c r="H50" s="38">
        <v>1968</v>
      </c>
      <c r="I50" s="32" t="s">
        <v>361</v>
      </c>
      <c r="J50" s="32" t="s">
        <v>325</v>
      </c>
      <c r="K50" s="32" t="s">
        <v>353</v>
      </c>
      <c r="L50" s="32" t="s">
        <v>361</v>
      </c>
    </row>
    <row r="51" spans="1:12">
      <c r="A51" s="35" t="s">
        <v>3</v>
      </c>
      <c r="B51" s="39">
        <v>2014</v>
      </c>
      <c r="C51" s="32" t="s">
        <v>357</v>
      </c>
      <c r="D51" s="32">
        <v>2014</v>
      </c>
      <c r="E51" s="32">
        <v>2018</v>
      </c>
      <c r="F51" s="32" t="s">
        <v>320</v>
      </c>
      <c r="G51" s="32" t="s">
        <v>323</v>
      </c>
      <c r="H51" s="38">
        <v>1964</v>
      </c>
      <c r="I51" s="32" t="s">
        <v>358</v>
      </c>
      <c r="J51" s="32" t="s">
        <v>325</v>
      </c>
      <c r="K51" s="32" t="s">
        <v>356</v>
      </c>
      <c r="L51" s="32" t="s">
        <v>327</v>
      </c>
    </row>
    <row r="52" spans="1:12">
      <c r="A52" s="36" t="s">
        <v>3</v>
      </c>
      <c r="B52" s="39">
        <v>2015</v>
      </c>
      <c r="C52" s="32" t="s">
        <v>362</v>
      </c>
      <c r="D52" s="32">
        <v>2013</v>
      </c>
      <c r="E52" s="32">
        <v>2018</v>
      </c>
      <c r="F52" s="32" t="s">
        <v>321</v>
      </c>
      <c r="G52" s="32" t="s">
        <v>323</v>
      </c>
      <c r="H52" s="38">
        <v>1968</v>
      </c>
      <c r="I52" s="32" t="s">
        <v>361</v>
      </c>
      <c r="J52" s="32" t="s">
        <v>325</v>
      </c>
      <c r="K52" s="32" t="s">
        <v>353</v>
      </c>
      <c r="L52" s="32" t="s">
        <v>361</v>
      </c>
    </row>
    <row r="53" spans="1:12">
      <c r="A53" s="36" t="s">
        <v>3</v>
      </c>
      <c r="B53" s="39">
        <v>2015</v>
      </c>
      <c r="C53" s="32" t="s">
        <v>357</v>
      </c>
      <c r="D53" s="32">
        <v>2014</v>
      </c>
      <c r="E53" s="32">
        <v>2018</v>
      </c>
      <c r="F53" s="32" t="s">
        <v>320</v>
      </c>
      <c r="G53" s="32" t="s">
        <v>323</v>
      </c>
      <c r="H53" s="38">
        <v>1964</v>
      </c>
      <c r="I53" s="32" t="s">
        <v>358</v>
      </c>
      <c r="J53" s="32" t="s">
        <v>325</v>
      </c>
      <c r="K53" s="32" t="s">
        <v>356</v>
      </c>
      <c r="L53" s="32" t="s">
        <v>327</v>
      </c>
    </row>
    <row r="54" spans="1:12">
      <c r="A54" s="36" t="s">
        <v>3</v>
      </c>
      <c r="B54" s="39">
        <v>2016</v>
      </c>
      <c r="C54" s="32" t="s">
        <v>362</v>
      </c>
      <c r="D54" s="32">
        <v>2013</v>
      </c>
      <c r="E54" s="32">
        <v>2018</v>
      </c>
      <c r="F54" s="32" t="s">
        <v>321</v>
      </c>
      <c r="G54" s="32" t="s">
        <v>323</v>
      </c>
      <c r="H54" s="38">
        <v>1968</v>
      </c>
      <c r="I54" s="32" t="s">
        <v>361</v>
      </c>
      <c r="J54" s="32" t="s">
        <v>325</v>
      </c>
      <c r="K54" s="32" t="s">
        <v>353</v>
      </c>
      <c r="L54" s="32" t="s">
        <v>361</v>
      </c>
    </row>
    <row r="55" spans="1:12">
      <c r="A55" s="36" t="s">
        <v>3</v>
      </c>
      <c r="B55" s="39">
        <v>2016</v>
      </c>
      <c r="C55" s="32" t="s">
        <v>357</v>
      </c>
      <c r="D55" s="32">
        <v>2014</v>
      </c>
      <c r="E55" s="32">
        <v>2018</v>
      </c>
      <c r="F55" s="32" t="s">
        <v>320</v>
      </c>
      <c r="G55" s="32" t="s">
        <v>323</v>
      </c>
      <c r="H55" s="38">
        <v>1964</v>
      </c>
      <c r="I55" s="32" t="s">
        <v>358</v>
      </c>
      <c r="J55" s="32" t="s">
        <v>325</v>
      </c>
      <c r="K55" s="32" t="s">
        <v>356</v>
      </c>
      <c r="L55" s="32" t="s">
        <v>327</v>
      </c>
    </row>
    <row r="56" spans="1:12">
      <c r="A56" s="36" t="s">
        <v>3</v>
      </c>
      <c r="B56" s="39">
        <v>2017</v>
      </c>
      <c r="C56" s="32" t="s">
        <v>362</v>
      </c>
      <c r="D56" s="32">
        <v>2013</v>
      </c>
      <c r="E56" s="32">
        <v>2018</v>
      </c>
      <c r="F56" s="32" t="s">
        <v>321</v>
      </c>
      <c r="G56" s="32" t="s">
        <v>323</v>
      </c>
      <c r="H56" s="38">
        <v>1968</v>
      </c>
      <c r="I56" s="32" t="s">
        <v>361</v>
      </c>
      <c r="J56" s="32" t="s">
        <v>325</v>
      </c>
      <c r="K56" s="32" t="s">
        <v>353</v>
      </c>
      <c r="L56" s="32" t="s">
        <v>361</v>
      </c>
    </row>
    <row r="57" spans="1:12">
      <c r="A57" s="36" t="s">
        <v>3</v>
      </c>
      <c r="B57" s="39">
        <v>2017</v>
      </c>
      <c r="C57" s="32" t="s">
        <v>357</v>
      </c>
      <c r="D57" s="32">
        <v>2014</v>
      </c>
      <c r="E57" s="32">
        <v>2018</v>
      </c>
      <c r="F57" s="32" t="s">
        <v>320</v>
      </c>
      <c r="G57" s="32" t="s">
        <v>323</v>
      </c>
      <c r="H57" s="38">
        <v>1964</v>
      </c>
      <c r="I57" s="32" t="s">
        <v>358</v>
      </c>
      <c r="J57" s="32" t="s">
        <v>325</v>
      </c>
      <c r="K57" s="32" t="s">
        <v>356</v>
      </c>
      <c r="L57" s="32" t="s">
        <v>327</v>
      </c>
    </row>
    <row r="58" spans="1:12">
      <c r="A58" s="36" t="s">
        <v>3</v>
      </c>
      <c r="B58" s="39">
        <v>2018</v>
      </c>
      <c r="C58" s="32" t="s">
        <v>353</v>
      </c>
      <c r="D58" s="32">
        <v>2018</v>
      </c>
      <c r="E58" s="32">
        <v>2020</v>
      </c>
      <c r="F58" s="32" t="s">
        <v>321</v>
      </c>
      <c r="G58" s="32" t="s">
        <v>323</v>
      </c>
      <c r="H58" s="38">
        <v>1965</v>
      </c>
      <c r="I58" s="32" t="s">
        <v>361</v>
      </c>
      <c r="J58" s="32" t="s">
        <v>325</v>
      </c>
      <c r="K58" s="32" t="s">
        <v>359</v>
      </c>
      <c r="L58" s="32" t="s">
        <v>360</v>
      </c>
    </row>
    <row r="59" spans="1:12">
      <c r="A59" s="36" t="s">
        <v>3</v>
      </c>
      <c r="B59" s="39">
        <v>2018</v>
      </c>
      <c r="C59" s="32" t="s">
        <v>356</v>
      </c>
      <c r="D59" s="32">
        <v>2018</v>
      </c>
      <c r="E59" s="32">
        <v>2020</v>
      </c>
      <c r="F59" s="32" t="s">
        <v>320</v>
      </c>
      <c r="G59" s="32" t="s">
        <v>323</v>
      </c>
      <c r="H59" s="38">
        <v>1964</v>
      </c>
      <c r="I59" s="32" t="s">
        <v>327</v>
      </c>
      <c r="J59" s="32" t="s">
        <v>325</v>
      </c>
      <c r="K59" s="32" t="s">
        <v>353</v>
      </c>
      <c r="L59" s="32" t="s">
        <v>355</v>
      </c>
    </row>
    <row r="60" spans="1:12">
      <c r="A60" s="36" t="s">
        <v>3</v>
      </c>
      <c r="B60" s="39">
        <v>2019</v>
      </c>
      <c r="C60" s="32" t="s">
        <v>353</v>
      </c>
      <c r="D60" s="32">
        <v>2018</v>
      </c>
      <c r="E60" s="32">
        <v>2020</v>
      </c>
      <c r="F60" s="32" t="s">
        <v>321</v>
      </c>
      <c r="G60" s="32" t="s">
        <v>323</v>
      </c>
      <c r="H60" s="38">
        <v>1965</v>
      </c>
      <c r="I60" s="32" t="s">
        <v>361</v>
      </c>
      <c r="J60" s="32" t="s">
        <v>325</v>
      </c>
      <c r="K60" s="32" t="s">
        <v>359</v>
      </c>
      <c r="L60" s="32" t="s">
        <v>360</v>
      </c>
    </row>
    <row r="61" spans="1:12">
      <c r="A61" s="36" t="s">
        <v>3</v>
      </c>
      <c r="B61" s="39">
        <v>2019</v>
      </c>
      <c r="C61" s="32" t="s">
        <v>356</v>
      </c>
      <c r="D61" s="32">
        <v>2018</v>
      </c>
      <c r="E61" s="32">
        <v>2020</v>
      </c>
      <c r="F61" s="32" t="s">
        <v>320</v>
      </c>
      <c r="G61" s="32" t="s">
        <v>323</v>
      </c>
      <c r="H61" s="38">
        <v>1964</v>
      </c>
      <c r="I61" s="32" t="s">
        <v>327</v>
      </c>
      <c r="J61" s="32" t="s">
        <v>325</v>
      </c>
      <c r="K61" s="32" t="s">
        <v>353</v>
      </c>
      <c r="L61" s="32" t="s">
        <v>355</v>
      </c>
    </row>
    <row r="62" spans="1:12">
      <c r="A62" s="36" t="s">
        <v>3</v>
      </c>
      <c r="B62" s="39">
        <v>2020</v>
      </c>
      <c r="C62" s="32" t="s">
        <v>359</v>
      </c>
      <c r="D62" s="32">
        <v>2020</v>
      </c>
      <c r="E62" s="32" t="s">
        <v>354</v>
      </c>
      <c r="F62" s="32" t="s">
        <v>321</v>
      </c>
      <c r="G62" s="32" t="s">
        <v>323</v>
      </c>
      <c r="H62" s="38">
        <v>1969</v>
      </c>
      <c r="I62" s="32" t="s">
        <v>360</v>
      </c>
      <c r="J62" s="32" t="s">
        <v>325</v>
      </c>
      <c r="K62" s="35"/>
      <c r="L62" s="35"/>
    </row>
    <row r="63" spans="1:12">
      <c r="A63" s="36" t="s">
        <v>3</v>
      </c>
      <c r="B63" s="39">
        <v>2020</v>
      </c>
      <c r="C63" s="32" t="s">
        <v>353</v>
      </c>
      <c r="D63" s="32">
        <v>2020</v>
      </c>
      <c r="E63" s="32" t="s">
        <v>354</v>
      </c>
      <c r="F63" s="32" t="s">
        <v>320</v>
      </c>
      <c r="G63" s="32" t="s">
        <v>323</v>
      </c>
      <c r="H63" s="38">
        <v>1965</v>
      </c>
      <c r="I63" s="32" t="s">
        <v>355</v>
      </c>
      <c r="J63" s="32" t="s">
        <v>325</v>
      </c>
      <c r="K63" s="35"/>
      <c r="L63" s="35"/>
    </row>
    <row r="64" spans="1:12">
      <c r="A64" s="36" t="s">
        <v>3</v>
      </c>
      <c r="B64" s="39">
        <v>2021</v>
      </c>
      <c r="C64" s="32" t="s">
        <v>359</v>
      </c>
      <c r="D64" s="32">
        <v>2020</v>
      </c>
      <c r="E64" s="32" t="s">
        <v>354</v>
      </c>
      <c r="F64" s="32" t="s">
        <v>321</v>
      </c>
      <c r="G64" s="32" t="s">
        <v>323</v>
      </c>
      <c r="H64" s="38">
        <v>1969</v>
      </c>
      <c r="I64" s="32" t="s">
        <v>360</v>
      </c>
      <c r="J64" s="32" t="s">
        <v>325</v>
      </c>
      <c r="K64" s="35"/>
      <c r="L64" s="35"/>
    </row>
    <row r="65" spans="1:12">
      <c r="A65" s="36" t="s">
        <v>3</v>
      </c>
      <c r="B65" s="39">
        <v>2021</v>
      </c>
      <c r="C65" s="32" t="s">
        <v>353</v>
      </c>
      <c r="D65" s="32">
        <v>2020</v>
      </c>
      <c r="E65" s="32" t="s">
        <v>354</v>
      </c>
      <c r="F65" s="32" t="s">
        <v>320</v>
      </c>
      <c r="G65" s="32" t="s">
        <v>323</v>
      </c>
      <c r="H65" s="38">
        <v>1965</v>
      </c>
      <c r="I65" s="32" t="s">
        <v>355</v>
      </c>
      <c r="J65" s="32" t="s">
        <v>325</v>
      </c>
      <c r="K65" s="35"/>
      <c r="L65" s="35"/>
    </row>
    <row r="66" spans="1:12">
      <c r="A66" s="36" t="s">
        <v>3</v>
      </c>
      <c r="B66" s="39">
        <v>2022</v>
      </c>
      <c r="C66" s="32" t="s">
        <v>359</v>
      </c>
      <c r="D66" s="32">
        <v>2020</v>
      </c>
      <c r="E66" s="32" t="s">
        <v>354</v>
      </c>
      <c r="F66" s="32" t="s">
        <v>321</v>
      </c>
      <c r="G66" s="32" t="s">
        <v>323</v>
      </c>
      <c r="H66" s="38">
        <v>1969</v>
      </c>
      <c r="I66" s="32" t="s">
        <v>360</v>
      </c>
      <c r="J66" s="32" t="s">
        <v>325</v>
      </c>
      <c r="K66" s="35"/>
      <c r="L66" s="35"/>
    </row>
    <row r="67" spans="1:12">
      <c r="A67" s="36" t="s">
        <v>3</v>
      </c>
      <c r="B67" s="39">
        <v>2022</v>
      </c>
      <c r="C67" s="32" t="s">
        <v>353</v>
      </c>
      <c r="D67" s="32">
        <v>2020</v>
      </c>
      <c r="E67" s="32" t="s">
        <v>354</v>
      </c>
      <c r="F67" s="32" t="s">
        <v>320</v>
      </c>
      <c r="G67" s="32" t="s">
        <v>323</v>
      </c>
      <c r="H67" s="38">
        <v>1965</v>
      </c>
      <c r="I67" s="32" t="s">
        <v>355</v>
      </c>
      <c r="J67" s="32" t="s">
        <v>325</v>
      </c>
      <c r="K67" s="35"/>
      <c r="L67" s="35"/>
    </row>
    <row r="68" spans="1:12">
      <c r="A68" s="35" t="s">
        <v>4</v>
      </c>
      <c r="B68" s="39">
        <v>2012</v>
      </c>
      <c r="C68" s="33" t="s">
        <v>368</v>
      </c>
      <c r="D68" s="32">
        <v>2011</v>
      </c>
      <c r="E68" s="32">
        <v>2013</v>
      </c>
      <c r="F68" s="32" t="s">
        <v>321</v>
      </c>
      <c r="G68" s="32" t="s">
        <v>323</v>
      </c>
      <c r="H68" s="38">
        <v>1962</v>
      </c>
      <c r="I68" s="32" t="s">
        <v>358</v>
      </c>
      <c r="J68" s="32" t="s">
        <v>325</v>
      </c>
      <c r="K68" s="32" t="s">
        <v>366</v>
      </c>
      <c r="L68" s="32" t="s">
        <v>367</v>
      </c>
    </row>
    <row r="69" spans="1:12">
      <c r="A69" s="35" t="s">
        <v>4</v>
      </c>
      <c r="B69" s="39">
        <v>2012</v>
      </c>
      <c r="C69" s="32" t="s">
        <v>374</v>
      </c>
      <c r="D69" s="32">
        <v>2012</v>
      </c>
      <c r="E69" s="32">
        <v>2017</v>
      </c>
      <c r="F69" s="32" t="s">
        <v>320</v>
      </c>
      <c r="G69" s="32" t="s">
        <v>323</v>
      </c>
      <c r="H69" s="38">
        <v>1961</v>
      </c>
      <c r="I69" s="32" t="s">
        <v>375</v>
      </c>
      <c r="J69" s="32" t="s">
        <v>325</v>
      </c>
      <c r="K69" s="32" t="s">
        <v>366</v>
      </c>
      <c r="L69" s="32" t="s">
        <v>367</v>
      </c>
    </row>
    <row r="70" spans="1:12">
      <c r="A70" s="35" t="s">
        <v>4</v>
      </c>
      <c r="B70" s="39">
        <v>2013</v>
      </c>
      <c r="C70" s="32" t="s">
        <v>366</v>
      </c>
      <c r="D70" s="32">
        <v>2013</v>
      </c>
      <c r="E70" s="32">
        <v>2017</v>
      </c>
      <c r="F70" s="32" t="s">
        <v>321</v>
      </c>
      <c r="G70" s="32" t="s">
        <v>323</v>
      </c>
      <c r="H70" s="38">
        <v>1971</v>
      </c>
      <c r="I70" s="32" t="s">
        <v>367</v>
      </c>
      <c r="J70" s="32" t="s">
        <v>325</v>
      </c>
      <c r="K70" s="32" t="s">
        <v>365</v>
      </c>
      <c r="L70" s="32" t="s">
        <v>350</v>
      </c>
    </row>
    <row r="71" spans="1:12">
      <c r="A71" s="35" t="s">
        <v>4</v>
      </c>
      <c r="B71" s="39">
        <v>2013</v>
      </c>
      <c r="C71" s="32" t="s">
        <v>374</v>
      </c>
      <c r="D71" s="32">
        <v>2012</v>
      </c>
      <c r="E71" s="32">
        <v>2017</v>
      </c>
      <c r="F71" s="32" t="s">
        <v>320</v>
      </c>
      <c r="G71" s="32" t="s">
        <v>323</v>
      </c>
      <c r="H71" s="38">
        <v>1961</v>
      </c>
      <c r="I71" s="32" t="s">
        <v>375</v>
      </c>
      <c r="J71" s="32" t="s">
        <v>325</v>
      </c>
      <c r="K71" s="32" t="s">
        <v>366</v>
      </c>
      <c r="L71" s="32" t="s">
        <v>367</v>
      </c>
    </row>
    <row r="72" spans="1:12">
      <c r="A72" s="35" t="s">
        <v>4</v>
      </c>
      <c r="B72" s="39">
        <v>2014</v>
      </c>
      <c r="C72" s="32" t="s">
        <v>366</v>
      </c>
      <c r="D72" s="32">
        <v>2013</v>
      </c>
      <c r="E72" s="32">
        <v>2017</v>
      </c>
      <c r="F72" s="32" t="s">
        <v>321</v>
      </c>
      <c r="G72" s="32" t="s">
        <v>323</v>
      </c>
      <c r="H72" s="38">
        <v>1971</v>
      </c>
      <c r="I72" s="32" t="s">
        <v>367</v>
      </c>
      <c r="J72" s="32" t="s">
        <v>325</v>
      </c>
      <c r="K72" s="32" t="s">
        <v>365</v>
      </c>
      <c r="L72" s="32" t="s">
        <v>350</v>
      </c>
    </row>
    <row r="73" spans="1:12">
      <c r="A73" s="35" t="s">
        <v>4</v>
      </c>
      <c r="B73" s="39">
        <v>2014</v>
      </c>
      <c r="C73" s="32" t="s">
        <v>374</v>
      </c>
      <c r="D73" s="32">
        <v>2012</v>
      </c>
      <c r="E73" s="32">
        <v>2017</v>
      </c>
      <c r="F73" s="32" t="s">
        <v>320</v>
      </c>
      <c r="G73" s="32" t="s">
        <v>323</v>
      </c>
      <c r="H73" s="38">
        <v>1961</v>
      </c>
      <c r="I73" s="32" t="s">
        <v>375</v>
      </c>
      <c r="J73" s="32" t="s">
        <v>325</v>
      </c>
      <c r="K73" s="32" t="s">
        <v>366</v>
      </c>
      <c r="L73" s="32" t="s">
        <v>367</v>
      </c>
    </row>
    <row r="74" spans="1:12">
      <c r="A74" s="36" t="s">
        <v>4</v>
      </c>
      <c r="B74" s="39">
        <v>2015</v>
      </c>
      <c r="C74" s="32" t="s">
        <v>366</v>
      </c>
      <c r="D74" s="32">
        <v>2013</v>
      </c>
      <c r="E74" s="32">
        <v>2017</v>
      </c>
      <c r="F74" s="32" t="s">
        <v>321</v>
      </c>
      <c r="G74" s="32" t="s">
        <v>323</v>
      </c>
      <c r="H74" s="38">
        <v>1971</v>
      </c>
      <c r="I74" s="32" t="s">
        <v>367</v>
      </c>
      <c r="J74" s="32" t="s">
        <v>325</v>
      </c>
      <c r="K74" s="32" t="s">
        <v>365</v>
      </c>
      <c r="L74" s="32" t="s">
        <v>350</v>
      </c>
    </row>
    <row r="75" spans="1:12">
      <c r="A75" s="36" t="s">
        <v>4</v>
      </c>
      <c r="B75" s="39">
        <v>2015</v>
      </c>
      <c r="C75" s="32" t="s">
        <v>374</v>
      </c>
      <c r="D75" s="32">
        <v>2012</v>
      </c>
      <c r="E75" s="32">
        <v>2017</v>
      </c>
      <c r="F75" s="32" t="s">
        <v>320</v>
      </c>
      <c r="G75" s="32" t="s">
        <v>323</v>
      </c>
      <c r="H75" s="38">
        <v>1961</v>
      </c>
      <c r="I75" s="32" t="s">
        <v>375</v>
      </c>
      <c r="J75" s="32" t="s">
        <v>325</v>
      </c>
      <c r="K75" s="32" t="s">
        <v>366</v>
      </c>
      <c r="L75" s="32" t="s">
        <v>367</v>
      </c>
    </row>
    <row r="76" spans="1:12">
      <c r="A76" s="36" t="s">
        <v>4</v>
      </c>
      <c r="B76" s="39">
        <v>2016</v>
      </c>
      <c r="C76" s="32" t="s">
        <v>366</v>
      </c>
      <c r="D76" s="32">
        <v>2013</v>
      </c>
      <c r="E76" s="32">
        <v>2017</v>
      </c>
      <c r="F76" s="32" t="s">
        <v>321</v>
      </c>
      <c r="G76" s="32" t="s">
        <v>323</v>
      </c>
      <c r="H76" s="38">
        <v>1971</v>
      </c>
      <c r="I76" s="32" t="s">
        <v>367</v>
      </c>
      <c r="J76" s="32" t="s">
        <v>325</v>
      </c>
      <c r="K76" s="32" t="s">
        <v>365</v>
      </c>
      <c r="L76" s="32" t="s">
        <v>350</v>
      </c>
    </row>
    <row r="77" spans="1:12">
      <c r="A77" s="36" t="s">
        <v>4</v>
      </c>
      <c r="B77" s="39">
        <v>2016</v>
      </c>
      <c r="C77" s="32" t="s">
        <v>374</v>
      </c>
      <c r="D77" s="32">
        <v>2012</v>
      </c>
      <c r="E77" s="32">
        <v>2017</v>
      </c>
      <c r="F77" s="32" t="s">
        <v>320</v>
      </c>
      <c r="G77" s="32" t="s">
        <v>323</v>
      </c>
      <c r="H77" s="38">
        <v>1961</v>
      </c>
      <c r="I77" s="32" t="s">
        <v>375</v>
      </c>
      <c r="J77" s="32" t="s">
        <v>325</v>
      </c>
      <c r="K77" s="32" t="s">
        <v>366</v>
      </c>
      <c r="L77" s="32" t="s">
        <v>367</v>
      </c>
    </row>
    <row r="78" spans="1:12">
      <c r="A78" s="36" t="s">
        <v>4</v>
      </c>
      <c r="B78" s="39">
        <v>2017</v>
      </c>
      <c r="C78" s="32" t="s">
        <v>365</v>
      </c>
      <c r="D78" s="32">
        <v>2017</v>
      </c>
      <c r="E78" s="32">
        <v>2019</v>
      </c>
      <c r="F78" s="32" t="s">
        <v>321</v>
      </c>
      <c r="G78" s="32" t="s">
        <v>323</v>
      </c>
      <c r="H78" s="38">
        <v>1970</v>
      </c>
      <c r="I78" s="32" t="s">
        <v>350</v>
      </c>
      <c r="J78" s="32" t="s">
        <v>325</v>
      </c>
      <c r="K78" s="32" t="s">
        <v>363</v>
      </c>
      <c r="L78" s="32" t="s">
        <v>358</v>
      </c>
    </row>
    <row r="79" spans="1:12">
      <c r="A79" s="36" t="s">
        <v>4</v>
      </c>
      <c r="B79" s="39">
        <v>2017</v>
      </c>
      <c r="C79" s="32" t="s">
        <v>366</v>
      </c>
      <c r="D79" s="32">
        <v>2017</v>
      </c>
      <c r="E79" s="32">
        <v>2018</v>
      </c>
      <c r="F79" s="32" t="s">
        <v>320</v>
      </c>
      <c r="G79" s="32" t="s">
        <v>323</v>
      </c>
      <c r="H79" s="38">
        <v>1971</v>
      </c>
      <c r="I79" s="32" t="s">
        <v>367</v>
      </c>
      <c r="J79" s="32" t="s">
        <v>325</v>
      </c>
      <c r="K79" s="32" t="s">
        <v>372</v>
      </c>
      <c r="L79" s="32" t="s">
        <v>373</v>
      </c>
    </row>
    <row r="80" spans="1:12">
      <c r="A80" s="36" t="s">
        <v>4</v>
      </c>
      <c r="B80" s="39">
        <v>2018</v>
      </c>
      <c r="C80" s="32" t="s">
        <v>365</v>
      </c>
      <c r="D80" s="32">
        <v>2017</v>
      </c>
      <c r="E80" s="32">
        <v>2019</v>
      </c>
      <c r="F80" s="32" t="s">
        <v>321</v>
      </c>
      <c r="G80" s="32" t="s">
        <v>323</v>
      </c>
      <c r="H80" s="38">
        <v>1970</v>
      </c>
      <c r="I80" s="32" t="s">
        <v>350</v>
      </c>
      <c r="J80" s="32" t="s">
        <v>325</v>
      </c>
      <c r="K80" s="32" t="s">
        <v>363</v>
      </c>
      <c r="L80" s="32" t="s">
        <v>358</v>
      </c>
    </row>
    <row r="81" spans="1:12">
      <c r="A81" s="36" t="s">
        <v>4</v>
      </c>
      <c r="B81" s="39">
        <v>2018</v>
      </c>
      <c r="C81" s="32" t="s">
        <v>372</v>
      </c>
      <c r="D81" s="32">
        <v>2018</v>
      </c>
      <c r="E81" s="32">
        <v>2019</v>
      </c>
      <c r="F81" s="32" t="s">
        <v>320</v>
      </c>
      <c r="G81" s="32" t="s">
        <v>323</v>
      </c>
      <c r="H81" s="38">
        <v>1960</v>
      </c>
      <c r="I81" s="32" t="s">
        <v>373</v>
      </c>
      <c r="J81" s="32" t="s">
        <v>325</v>
      </c>
      <c r="K81" s="32" t="s">
        <v>369</v>
      </c>
      <c r="L81" s="32" t="s">
        <v>370</v>
      </c>
    </row>
    <row r="82" spans="1:12">
      <c r="A82" s="36" t="s">
        <v>4</v>
      </c>
      <c r="B82" s="39">
        <v>2019</v>
      </c>
      <c r="C82" s="32" t="s">
        <v>363</v>
      </c>
      <c r="D82" s="32">
        <v>2019</v>
      </c>
      <c r="E82" s="32">
        <v>2021</v>
      </c>
      <c r="F82" s="32" t="s">
        <v>321</v>
      </c>
      <c r="G82" s="32" t="s">
        <v>323</v>
      </c>
      <c r="H82" s="38">
        <v>1967</v>
      </c>
      <c r="I82" s="32" t="s">
        <v>358</v>
      </c>
      <c r="J82" s="32" t="s">
        <v>325</v>
      </c>
      <c r="K82" s="32" t="s">
        <v>364</v>
      </c>
      <c r="L82" s="32" t="s">
        <v>324</v>
      </c>
    </row>
    <row r="83" spans="1:12">
      <c r="A83" s="36" t="s">
        <v>4</v>
      </c>
      <c r="B83" s="39">
        <v>2019</v>
      </c>
      <c r="C83" s="32" t="s">
        <v>369</v>
      </c>
      <c r="D83" s="32">
        <v>2019</v>
      </c>
      <c r="E83" s="32">
        <v>2021</v>
      </c>
      <c r="F83" s="32" t="s">
        <v>320</v>
      </c>
      <c r="G83" s="32" t="s">
        <v>323</v>
      </c>
      <c r="H83" s="38">
        <v>1967</v>
      </c>
      <c r="I83" s="32" t="s">
        <v>370</v>
      </c>
      <c r="J83" s="32" t="s">
        <v>325</v>
      </c>
      <c r="K83" s="32" t="s">
        <v>363</v>
      </c>
      <c r="L83" s="32" t="s">
        <v>371</v>
      </c>
    </row>
    <row r="84" spans="1:12">
      <c r="A84" s="36" t="s">
        <v>4</v>
      </c>
      <c r="B84" s="39">
        <v>2020</v>
      </c>
      <c r="C84" s="32" t="s">
        <v>363</v>
      </c>
      <c r="D84" s="32">
        <v>2019</v>
      </c>
      <c r="E84" s="32">
        <v>2021</v>
      </c>
      <c r="F84" s="32" t="s">
        <v>321</v>
      </c>
      <c r="G84" s="32" t="s">
        <v>323</v>
      </c>
      <c r="H84" s="38">
        <v>1967</v>
      </c>
      <c r="I84" s="32" t="s">
        <v>358</v>
      </c>
      <c r="J84" s="32" t="s">
        <v>325</v>
      </c>
      <c r="K84" s="32" t="s">
        <v>364</v>
      </c>
      <c r="L84" s="32" t="s">
        <v>324</v>
      </c>
    </row>
    <row r="85" spans="1:12">
      <c r="A85" s="36" t="s">
        <v>4</v>
      </c>
      <c r="B85" s="39">
        <v>2020</v>
      </c>
      <c r="C85" s="32" t="s">
        <v>369</v>
      </c>
      <c r="D85" s="32">
        <v>2019</v>
      </c>
      <c r="E85" s="32">
        <v>2021</v>
      </c>
      <c r="F85" s="32" t="s">
        <v>320</v>
      </c>
      <c r="G85" s="32" t="s">
        <v>323</v>
      </c>
      <c r="H85" s="38">
        <v>1967</v>
      </c>
      <c r="I85" s="32" t="s">
        <v>370</v>
      </c>
      <c r="J85" s="32" t="s">
        <v>325</v>
      </c>
      <c r="K85" s="32" t="s">
        <v>363</v>
      </c>
      <c r="L85" s="32" t="s">
        <v>371</v>
      </c>
    </row>
    <row r="86" spans="1:12">
      <c r="A86" s="36" t="s">
        <v>4</v>
      </c>
      <c r="B86" s="39">
        <v>2021</v>
      </c>
      <c r="C86" s="32" t="s">
        <v>363</v>
      </c>
      <c r="D86" s="32">
        <v>2019</v>
      </c>
      <c r="E86" s="32">
        <v>2021</v>
      </c>
      <c r="F86" s="32" t="s">
        <v>321</v>
      </c>
      <c r="G86" s="32" t="s">
        <v>323</v>
      </c>
      <c r="H86" s="38">
        <v>1967</v>
      </c>
      <c r="I86" s="32" t="s">
        <v>358</v>
      </c>
      <c r="J86" s="32" t="s">
        <v>325</v>
      </c>
      <c r="K86" s="32" t="s">
        <v>364</v>
      </c>
      <c r="L86" s="32" t="s">
        <v>324</v>
      </c>
    </row>
    <row r="87" spans="1:12">
      <c r="A87" s="36" t="s">
        <v>4</v>
      </c>
      <c r="B87" s="39">
        <v>2021</v>
      </c>
      <c r="C87" s="32" t="s">
        <v>369</v>
      </c>
      <c r="D87" s="32">
        <v>2019</v>
      </c>
      <c r="E87" s="32">
        <v>2021</v>
      </c>
      <c r="F87" s="32" t="s">
        <v>320</v>
      </c>
      <c r="G87" s="32" t="s">
        <v>323</v>
      </c>
      <c r="H87" s="38">
        <v>1967</v>
      </c>
      <c r="I87" s="32" t="s">
        <v>370</v>
      </c>
      <c r="J87" s="32" t="s">
        <v>325</v>
      </c>
      <c r="K87" s="32" t="s">
        <v>363</v>
      </c>
      <c r="L87" s="32" t="s">
        <v>371</v>
      </c>
    </row>
    <row r="88" spans="1:12">
      <c r="A88" s="36" t="s">
        <v>4</v>
      </c>
      <c r="B88" s="39">
        <v>2022</v>
      </c>
      <c r="C88" s="35"/>
      <c r="D88" s="35"/>
      <c r="E88" s="35"/>
      <c r="F88" s="35" t="s">
        <v>321</v>
      </c>
      <c r="G88" s="35"/>
      <c r="H88" s="39"/>
      <c r="I88" s="35"/>
      <c r="J88" s="35"/>
      <c r="K88" s="35"/>
      <c r="L88" s="35"/>
    </row>
    <row r="89" spans="1:12">
      <c r="A89" s="36" t="s">
        <v>4</v>
      </c>
      <c r="B89" s="39">
        <v>2022</v>
      </c>
      <c r="C89" s="35"/>
      <c r="D89" s="35"/>
      <c r="E89" s="35"/>
      <c r="F89" s="35" t="s">
        <v>320</v>
      </c>
      <c r="G89" s="35"/>
      <c r="H89" s="39"/>
      <c r="I89" s="35"/>
      <c r="J89" s="35"/>
      <c r="K89" s="35"/>
      <c r="L89" s="35"/>
    </row>
    <row r="90" spans="1:12">
      <c r="A90" s="35" t="s">
        <v>5</v>
      </c>
      <c r="B90" s="39">
        <v>2012</v>
      </c>
      <c r="C90" s="32" t="s">
        <v>380</v>
      </c>
      <c r="D90" s="32">
        <v>2012</v>
      </c>
      <c r="E90" s="32">
        <v>2015</v>
      </c>
      <c r="F90" s="32" t="s">
        <v>321</v>
      </c>
      <c r="G90" s="32" t="s">
        <v>323</v>
      </c>
      <c r="H90" s="38">
        <v>1963</v>
      </c>
      <c r="I90" s="32" t="s">
        <v>324</v>
      </c>
      <c r="J90" s="32" t="s">
        <v>325</v>
      </c>
      <c r="K90" s="32" t="s">
        <v>377</v>
      </c>
      <c r="L90" s="32" t="s">
        <v>327</v>
      </c>
    </row>
    <row r="91" spans="1:12">
      <c r="A91" s="35" t="s">
        <v>5</v>
      </c>
      <c r="B91" s="39">
        <v>2012</v>
      </c>
      <c r="C91" s="32" t="s">
        <v>376</v>
      </c>
      <c r="D91" s="32">
        <v>2009</v>
      </c>
      <c r="E91" s="32">
        <v>2016</v>
      </c>
      <c r="F91" s="32" t="s">
        <v>320</v>
      </c>
      <c r="G91" s="32" t="s">
        <v>323</v>
      </c>
      <c r="H91" s="38">
        <v>1956</v>
      </c>
      <c r="I91" s="32" t="s">
        <v>346</v>
      </c>
      <c r="J91" s="32" t="s">
        <v>325</v>
      </c>
      <c r="K91" s="32" t="s">
        <v>343</v>
      </c>
      <c r="L91" s="32" t="s">
        <v>324</v>
      </c>
    </row>
    <row r="92" spans="1:12">
      <c r="A92" s="35" t="s">
        <v>5</v>
      </c>
      <c r="B92" s="39">
        <v>2013</v>
      </c>
      <c r="C92" s="32" t="s">
        <v>380</v>
      </c>
      <c r="D92" s="32">
        <v>2012</v>
      </c>
      <c r="E92" s="32">
        <v>2015</v>
      </c>
      <c r="F92" s="32" t="s">
        <v>321</v>
      </c>
      <c r="G92" s="32" t="s">
        <v>323</v>
      </c>
      <c r="H92" s="38">
        <v>1963</v>
      </c>
      <c r="I92" s="32" t="s">
        <v>324</v>
      </c>
      <c r="J92" s="32" t="s">
        <v>325</v>
      </c>
      <c r="K92" s="32" t="s">
        <v>377</v>
      </c>
      <c r="L92" s="32" t="s">
        <v>327</v>
      </c>
    </row>
    <row r="93" spans="1:12">
      <c r="A93" s="35" t="s">
        <v>5</v>
      </c>
      <c r="B93" s="39">
        <v>2013</v>
      </c>
      <c r="C93" s="32" t="s">
        <v>376</v>
      </c>
      <c r="D93" s="32">
        <v>2009</v>
      </c>
      <c r="E93" s="32">
        <v>2016</v>
      </c>
      <c r="F93" s="32" t="s">
        <v>320</v>
      </c>
      <c r="G93" s="32" t="s">
        <v>323</v>
      </c>
      <c r="H93" s="38">
        <v>1956</v>
      </c>
      <c r="I93" s="32" t="s">
        <v>346</v>
      </c>
      <c r="J93" s="32" t="s">
        <v>325</v>
      </c>
      <c r="K93" s="32" t="s">
        <v>343</v>
      </c>
      <c r="L93" s="32" t="s">
        <v>324</v>
      </c>
    </row>
    <row r="94" spans="1:12">
      <c r="A94" s="35" t="s">
        <v>5</v>
      </c>
      <c r="B94" s="39">
        <v>2014</v>
      </c>
      <c r="C94" s="32" t="s">
        <v>380</v>
      </c>
      <c r="D94" s="32">
        <v>2012</v>
      </c>
      <c r="E94" s="32">
        <v>2015</v>
      </c>
      <c r="F94" s="32" t="s">
        <v>321</v>
      </c>
      <c r="G94" s="32" t="s">
        <v>323</v>
      </c>
      <c r="H94" s="38">
        <v>1963</v>
      </c>
      <c r="I94" s="32" t="s">
        <v>324</v>
      </c>
      <c r="J94" s="32" t="s">
        <v>325</v>
      </c>
      <c r="K94" s="32" t="s">
        <v>377</v>
      </c>
      <c r="L94" s="32" t="s">
        <v>327</v>
      </c>
    </row>
    <row r="95" spans="1:12">
      <c r="A95" s="35" t="s">
        <v>5</v>
      </c>
      <c r="B95" s="39">
        <v>2014</v>
      </c>
      <c r="C95" s="32" t="s">
        <v>376</v>
      </c>
      <c r="D95" s="32">
        <v>2009</v>
      </c>
      <c r="E95" s="32">
        <v>2016</v>
      </c>
      <c r="F95" s="32" t="s">
        <v>320</v>
      </c>
      <c r="G95" s="32" t="s">
        <v>323</v>
      </c>
      <c r="H95" s="38">
        <v>1956</v>
      </c>
      <c r="I95" s="32" t="s">
        <v>346</v>
      </c>
      <c r="J95" s="32" t="s">
        <v>325</v>
      </c>
      <c r="K95" s="32" t="s">
        <v>343</v>
      </c>
      <c r="L95" s="32" t="s">
        <v>324</v>
      </c>
    </row>
    <row r="96" spans="1:12">
      <c r="A96" s="36" t="s">
        <v>5</v>
      </c>
      <c r="B96" s="39">
        <v>2015</v>
      </c>
      <c r="C96" s="32" t="s">
        <v>377</v>
      </c>
      <c r="D96" s="32">
        <v>2015</v>
      </c>
      <c r="E96" s="32">
        <v>2018</v>
      </c>
      <c r="F96" s="32" t="s">
        <v>321</v>
      </c>
      <c r="G96" s="32" t="s">
        <v>323</v>
      </c>
      <c r="H96" s="38">
        <v>1962</v>
      </c>
      <c r="I96" s="32" t="s">
        <v>327</v>
      </c>
      <c r="J96" s="32" t="s">
        <v>340</v>
      </c>
      <c r="K96" s="32" t="s">
        <v>378</v>
      </c>
      <c r="L96" s="32" t="s">
        <v>379</v>
      </c>
    </row>
    <row r="97" spans="1:12">
      <c r="A97" s="36" t="s">
        <v>5</v>
      </c>
      <c r="B97" s="39">
        <v>2015</v>
      </c>
      <c r="C97" s="32" t="s">
        <v>376</v>
      </c>
      <c r="D97" s="32">
        <v>2009</v>
      </c>
      <c r="E97" s="32">
        <v>2016</v>
      </c>
      <c r="F97" s="32" t="s">
        <v>320</v>
      </c>
      <c r="G97" s="32" t="s">
        <v>323</v>
      </c>
      <c r="H97" s="38">
        <v>1956</v>
      </c>
      <c r="I97" s="32" t="s">
        <v>346</v>
      </c>
      <c r="J97" s="32" t="s">
        <v>325</v>
      </c>
      <c r="K97" s="32" t="s">
        <v>343</v>
      </c>
      <c r="L97" s="32" t="s">
        <v>324</v>
      </c>
    </row>
    <row r="98" spans="1:12">
      <c r="A98" s="36" t="s">
        <v>5</v>
      </c>
      <c r="B98" s="39">
        <v>2016</v>
      </c>
      <c r="C98" s="32" t="s">
        <v>377</v>
      </c>
      <c r="D98" s="32">
        <v>2015</v>
      </c>
      <c r="E98" s="32">
        <v>2018</v>
      </c>
      <c r="F98" s="32" t="s">
        <v>321</v>
      </c>
      <c r="G98" s="32" t="s">
        <v>323</v>
      </c>
      <c r="H98" s="38">
        <v>1962</v>
      </c>
      <c r="I98" s="32" t="s">
        <v>327</v>
      </c>
      <c r="J98" s="32" t="s">
        <v>340</v>
      </c>
      <c r="K98" s="32" t="s">
        <v>378</v>
      </c>
      <c r="L98" s="32" t="s">
        <v>379</v>
      </c>
    </row>
    <row r="99" spans="1:12">
      <c r="A99" s="36" t="s">
        <v>5</v>
      </c>
      <c r="B99" s="39">
        <v>2016</v>
      </c>
      <c r="C99" s="32" t="s">
        <v>343</v>
      </c>
      <c r="D99" s="32">
        <v>2016</v>
      </c>
      <c r="E99" s="32">
        <v>2018</v>
      </c>
      <c r="F99" s="32" t="s">
        <v>320</v>
      </c>
      <c r="G99" s="32" t="s">
        <v>323</v>
      </c>
      <c r="H99" s="38">
        <v>1964</v>
      </c>
      <c r="I99" s="32" t="s">
        <v>324</v>
      </c>
      <c r="J99" s="32" t="s">
        <v>340</v>
      </c>
      <c r="K99" s="32" t="s">
        <v>377</v>
      </c>
      <c r="L99" s="32" t="s">
        <v>327</v>
      </c>
    </row>
    <row r="100" spans="1:12">
      <c r="A100" s="36" t="s">
        <v>5</v>
      </c>
      <c r="B100" s="39">
        <v>2017</v>
      </c>
      <c r="C100" s="32" t="s">
        <v>377</v>
      </c>
      <c r="D100" s="32">
        <v>2015</v>
      </c>
      <c r="E100" s="32">
        <v>2018</v>
      </c>
      <c r="F100" s="32" t="s">
        <v>321</v>
      </c>
      <c r="G100" s="32" t="s">
        <v>323</v>
      </c>
      <c r="H100" s="38">
        <v>1962</v>
      </c>
      <c r="I100" s="32" t="s">
        <v>327</v>
      </c>
      <c r="J100" s="32" t="s">
        <v>340</v>
      </c>
      <c r="K100" s="32" t="s">
        <v>378</v>
      </c>
      <c r="L100" s="32" t="s">
        <v>379</v>
      </c>
    </row>
    <row r="101" spans="1:12">
      <c r="A101" s="36" t="s">
        <v>5</v>
      </c>
      <c r="B101" s="39">
        <v>2017</v>
      </c>
      <c r="C101" s="32" t="s">
        <v>343</v>
      </c>
      <c r="D101" s="32">
        <v>2016</v>
      </c>
      <c r="E101" s="32">
        <v>2018</v>
      </c>
      <c r="F101" s="32" t="s">
        <v>320</v>
      </c>
      <c r="G101" s="32" t="s">
        <v>323</v>
      </c>
      <c r="H101" s="38">
        <v>1964</v>
      </c>
      <c r="I101" s="32" t="s">
        <v>324</v>
      </c>
      <c r="J101" s="32" t="s">
        <v>340</v>
      </c>
      <c r="K101" s="32" t="s">
        <v>377</v>
      </c>
      <c r="L101" s="32" t="s">
        <v>327</v>
      </c>
    </row>
    <row r="102" spans="1:12">
      <c r="A102" s="36" t="s">
        <v>5</v>
      </c>
      <c r="B102" s="39">
        <v>2018</v>
      </c>
      <c r="C102" s="32" t="s">
        <v>378</v>
      </c>
      <c r="D102" s="32">
        <v>2018</v>
      </c>
      <c r="E102" s="32">
        <v>2021</v>
      </c>
      <c r="F102" s="32" t="s">
        <v>321</v>
      </c>
      <c r="G102" s="32" t="s">
        <v>323</v>
      </c>
      <c r="H102" s="38">
        <v>1969</v>
      </c>
      <c r="I102" s="32" t="s">
        <v>379</v>
      </c>
      <c r="J102" s="32" t="s">
        <v>325</v>
      </c>
      <c r="K102" s="32" t="s">
        <v>381</v>
      </c>
      <c r="L102" s="32" t="s">
        <v>348</v>
      </c>
    </row>
    <row r="103" spans="1:12">
      <c r="A103" s="36" t="s">
        <v>5</v>
      </c>
      <c r="B103" s="39">
        <v>2018</v>
      </c>
      <c r="C103" s="32" t="s">
        <v>377</v>
      </c>
      <c r="D103" s="32">
        <v>2018</v>
      </c>
      <c r="E103" s="32">
        <v>2021</v>
      </c>
      <c r="F103" s="32" t="s">
        <v>320</v>
      </c>
      <c r="G103" s="32" t="s">
        <v>323</v>
      </c>
      <c r="H103" s="38">
        <v>1962</v>
      </c>
      <c r="I103" s="32" t="s">
        <v>327</v>
      </c>
      <c r="J103" s="32" t="s">
        <v>340</v>
      </c>
      <c r="K103" s="32" t="s">
        <v>378</v>
      </c>
      <c r="L103" s="32" t="s">
        <v>379</v>
      </c>
    </row>
    <row r="104" spans="1:12">
      <c r="A104" s="36" t="s">
        <v>5</v>
      </c>
      <c r="B104" s="39">
        <v>2019</v>
      </c>
      <c r="C104" s="32" t="s">
        <v>378</v>
      </c>
      <c r="D104" s="32">
        <v>2018</v>
      </c>
      <c r="E104" s="32">
        <v>2021</v>
      </c>
      <c r="F104" s="32" t="s">
        <v>321</v>
      </c>
      <c r="G104" s="32" t="s">
        <v>323</v>
      </c>
      <c r="H104" s="38">
        <v>1969</v>
      </c>
      <c r="I104" s="32" t="s">
        <v>379</v>
      </c>
      <c r="J104" s="32" t="s">
        <v>325</v>
      </c>
      <c r="K104" s="32" t="s">
        <v>381</v>
      </c>
      <c r="L104" s="32" t="s">
        <v>348</v>
      </c>
    </row>
    <row r="105" spans="1:12">
      <c r="A105" s="36" t="s">
        <v>5</v>
      </c>
      <c r="B105" s="39">
        <v>2019</v>
      </c>
      <c r="C105" s="32" t="s">
        <v>377</v>
      </c>
      <c r="D105" s="32">
        <v>2018</v>
      </c>
      <c r="E105" s="32">
        <v>2021</v>
      </c>
      <c r="F105" s="32" t="s">
        <v>320</v>
      </c>
      <c r="G105" s="32" t="s">
        <v>323</v>
      </c>
      <c r="H105" s="38">
        <v>1962</v>
      </c>
      <c r="I105" s="32" t="s">
        <v>327</v>
      </c>
      <c r="J105" s="32" t="s">
        <v>340</v>
      </c>
      <c r="K105" s="32" t="s">
        <v>378</v>
      </c>
      <c r="L105" s="32" t="s">
        <v>379</v>
      </c>
    </row>
    <row r="106" spans="1:12">
      <c r="A106" s="36" t="s">
        <v>5</v>
      </c>
      <c r="B106" s="39">
        <v>2020</v>
      </c>
      <c r="C106" s="32" t="s">
        <v>378</v>
      </c>
      <c r="D106" s="32">
        <v>2018</v>
      </c>
      <c r="E106" s="32">
        <v>2021</v>
      </c>
      <c r="F106" s="32" t="s">
        <v>321</v>
      </c>
      <c r="G106" s="32" t="s">
        <v>323</v>
      </c>
      <c r="H106" s="38">
        <v>1969</v>
      </c>
      <c r="I106" s="32" t="s">
        <v>379</v>
      </c>
      <c r="J106" s="32" t="s">
        <v>325</v>
      </c>
      <c r="K106" s="32" t="s">
        <v>381</v>
      </c>
      <c r="L106" s="32" t="s">
        <v>348</v>
      </c>
    </row>
    <row r="107" spans="1:12">
      <c r="A107" s="36" t="s">
        <v>5</v>
      </c>
      <c r="B107" s="39">
        <v>2020</v>
      </c>
      <c r="C107" s="32" t="s">
        <v>377</v>
      </c>
      <c r="D107" s="32">
        <v>2018</v>
      </c>
      <c r="E107" s="32">
        <v>2021</v>
      </c>
      <c r="F107" s="32" t="s">
        <v>320</v>
      </c>
      <c r="G107" s="32" t="s">
        <v>323</v>
      </c>
      <c r="H107" s="38">
        <v>1962</v>
      </c>
      <c r="I107" s="32" t="s">
        <v>327</v>
      </c>
      <c r="J107" s="32" t="s">
        <v>340</v>
      </c>
      <c r="K107" s="32" t="s">
        <v>378</v>
      </c>
      <c r="L107" s="32" t="s">
        <v>379</v>
      </c>
    </row>
    <row r="108" spans="1:12">
      <c r="A108" s="36" t="s">
        <v>5</v>
      </c>
      <c r="B108" s="39">
        <v>2021</v>
      </c>
      <c r="C108" s="32" t="s">
        <v>378</v>
      </c>
      <c r="D108" s="32">
        <v>2018</v>
      </c>
      <c r="E108" s="32">
        <v>2021</v>
      </c>
      <c r="F108" s="32" t="s">
        <v>321</v>
      </c>
      <c r="G108" s="32" t="s">
        <v>323</v>
      </c>
      <c r="H108" s="38">
        <v>1969</v>
      </c>
      <c r="I108" s="32" t="s">
        <v>379</v>
      </c>
      <c r="J108" s="32" t="s">
        <v>325</v>
      </c>
      <c r="K108" s="32" t="s">
        <v>381</v>
      </c>
      <c r="L108" s="32" t="s">
        <v>348</v>
      </c>
    </row>
    <row r="109" spans="1:12">
      <c r="A109" s="36" t="s">
        <v>5</v>
      </c>
      <c r="B109" s="39">
        <v>2021</v>
      </c>
      <c r="C109" s="32" t="s">
        <v>377</v>
      </c>
      <c r="D109" s="32">
        <v>2018</v>
      </c>
      <c r="E109" s="32">
        <v>2021</v>
      </c>
      <c r="F109" s="32" t="s">
        <v>320</v>
      </c>
      <c r="G109" s="32" t="s">
        <v>323</v>
      </c>
      <c r="H109" s="38">
        <v>1962</v>
      </c>
      <c r="I109" s="32" t="s">
        <v>327</v>
      </c>
      <c r="J109" s="32" t="s">
        <v>340</v>
      </c>
      <c r="K109" s="32" t="s">
        <v>378</v>
      </c>
      <c r="L109" s="32" t="s">
        <v>379</v>
      </c>
    </row>
    <row r="110" spans="1:12">
      <c r="A110" s="36" t="s">
        <v>5</v>
      </c>
      <c r="B110" s="39">
        <v>2022</v>
      </c>
      <c r="C110" s="35"/>
      <c r="D110" s="35"/>
      <c r="E110" s="35"/>
      <c r="F110" s="35" t="s">
        <v>321</v>
      </c>
      <c r="G110" s="35"/>
      <c r="H110" s="39"/>
      <c r="I110" s="35"/>
      <c r="J110" s="35"/>
      <c r="K110" s="35"/>
      <c r="L110" s="35"/>
    </row>
    <row r="111" spans="1:12">
      <c r="A111" s="36" t="s">
        <v>5</v>
      </c>
      <c r="B111" s="39">
        <v>2022</v>
      </c>
      <c r="C111" s="35"/>
      <c r="D111" s="35"/>
      <c r="E111" s="35"/>
      <c r="F111" s="35" t="s">
        <v>320</v>
      </c>
      <c r="G111" s="35"/>
      <c r="H111" s="39"/>
      <c r="I111" s="35"/>
      <c r="J111" s="35"/>
      <c r="K111" s="35"/>
      <c r="L111" s="35"/>
    </row>
    <row r="112" spans="1:12">
      <c r="A112" s="35" t="s">
        <v>6</v>
      </c>
      <c r="B112" s="39">
        <v>2012</v>
      </c>
      <c r="C112" s="32" t="s">
        <v>384</v>
      </c>
      <c r="D112" s="32">
        <v>2012</v>
      </c>
      <c r="E112" s="32">
        <v>2016</v>
      </c>
      <c r="F112" s="32" t="s">
        <v>321</v>
      </c>
      <c r="G112" s="32" t="s">
        <v>323</v>
      </c>
      <c r="H112" s="38">
        <v>1956</v>
      </c>
      <c r="I112" s="32" t="s">
        <v>331</v>
      </c>
      <c r="J112" s="32" t="s">
        <v>325</v>
      </c>
      <c r="K112" s="32" t="s">
        <v>356</v>
      </c>
      <c r="L112" s="32" t="s">
        <v>327</v>
      </c>
    </row>
    <row r="113" spans="1:12">
      <c r="A113" s="35" t="s">
        <v>6</v>
      </c>
      <c r="B113" s="39">
        <v>2012</v>
      </c>
      <c r="C113" s="32" t="s">
        <v>385</v>
      </c>
      <c r="D113" s="32">
        <v>2012</v>
      </c>
      <c r="E113" s="32">
        <v>2019</v>
      </c>
      <c r="F113" s="32" t="s">
        <v>320</v>
      </c>
      <c r="G113" s="32" t="s">
        <v>323</v>
      </c>
      <c r="H113" s="38">
        <v>1966</v>
      </c>
      <c r="I113" s="32" t="s">
        <v>342</v>
      </c>
      <c r="J113" s="32" t="s">
        <v>325</v>
      </c>
      <c r="K113" s="32" t="s">
        <v>338</v>
      </c>
      <c r="L113" s="32" t="s">
        <v>339</v>
      </c>
    </row>
    <row r="114" spans="1:12">
      <c r="A114" s="35" t="s">
        <v>6</v>
      </c>
      <c r="B114" s="39">
        <v>2013</v>
      </c>
      <c r="C114" s="32" t="s">
        <v>384</v>
      </c>
      <c r="D114" s="32">
        <v>2012</v>
      </c>
      <c r="E114" s="32">
        <v>2016</v>
      </c>
      <c r="F114" s="32" t="s">
        <v>321</v>
      </c>
      <c r="G114" s="32" t="s">
        <v>323</v>
      </c>
      <c r="H114" s="38">
        <v>1956</v>
      </c>
      <c r="I114" s="32" t="s">
        <v>331</v>
      </c>
      <c r="J114" s="32" t="s">
        <v>325</v>
      </c>
      <c r="K114" s="32" t="s">
        <v>356</v>
      </c>
      <c r="L114" s="32" t="s">
        <v>327</v>
      </c>
    </row>
    <row r="115" spans="1:12">
      <c r="A115" s="35" t="s">
        <v>6</v>
      </c>
      <c r="B115" s="39">
        <v>2013</v>
      </c>
      <c r="C115" s="32" t="s">
        <v>385</v>
      </c>
      <c r="D115" s="32">
        <v>2012</v>
      </c>
      <c r="E115" s="32">
        <v>2019</v>
      </c>
      <c r="F115" s="32" t="s">
        <v>320</v>
      </c>
      <c r="G115" s="32" t="s">
        <v>323</v>
      </c>
      <c r="H115" s="38">
        <v>1966</v>
      </c>
      <c r="I115" s="32" t="s">
        <v>342</v>
      </c>
      <c r="J115" s="32" t="s">
        <v>325</v>
      </c>
      <c r="K115" s="32" t="s">
        <v>338</v>
      </c>
      <c r="L115" s="32" t="s">
        <v>339</v>
      </c>
    </row>
    <row r="116" spans="1:12">
      <c r="A116" s="35" t="s">
        <v>6</v>
      </c>
      <c r="B116" s="39">
        <v>2014</v>
      </c>
      <c r="C116" s="32" t="s">
        <v>384</v>
      </c>
      <c r="D116" s="32">
        <v>2012</v>
      </c>
      <c r="E116" s="32">
        <v>2016</v>
      </c>
      <c r="F116" s="32" t="s">
        <v>321</v>
      </c>
      <c r="G116" s="32" t="s">
        <v>323</v>
      </c>
      <c r="H116" s="38">
        <v>1956</v>
      </c>
      <c r="I116" s="32" t="s">
        <v>331</v>
      </c>
      <c r="J116" s="32" t="s">
        <v>325</v>
      </c>
      <c r="K116" s="32" t="s">
        <v>356</v>
      </c>
      <c r="L116" s="32" t="s">
        <v>327</v>
      </c>
    </row>
    <row r="117" spans="1:12">
      <c r="A117" s="35" t="s">
        <v>6</v>
      </c>
      <c r="B117" s="39">
        <v>2014</v>
      </c>
      <c r="C117" s="32" t="s">
        <v>385</v>
      </c>
      <c r="D117" s="32">
        <v>2012</v>
      </c>
      <c r="E117" s="32">
        <v>2019</v>
      </c>
      <c r="F117" s="32" t="s">
        <v>320</v>
      </c>
      <c r="G117" s="32" t="s">
        <v>323</v>
      </c>
      <c r="H117" s="38">
        <v>1966</v>
      </c>
      <c r="I117" s="32" t="s">
        <v>342</v>
      </c>
      <c r="J117" s="32" t="s">
        <v>325</v>
      </c>
      <c r="K117" s="32" t="s">
        <v>338</v>
      </c>
      <c r="L117" s="32" t="s">
        <v>339</v>
      </c>
    </row>
    <row r="118" spans="1:12">
      <c r="A118" s="36" t="s">
        <v>6</v>
      </c>
      <c r="B118" s="39">
        <v>2015</v>
      </c>
      <c r="C118" s="32" t="s">
        <v>384</v>
      </c>
      <c r="D118" s="32">
        <v>2012</v>
      </c>
      <c r="E118" s="32">
        <v>2016</v>
      </c>
      <c r="F118" s="32" t="s">
        <v>321</v>
      </c>
      <c r="G118" s="32" t="s">
        <v>323</v>
      </c>
      <c r="H118" s="38">
        <v>1956</v>
      </c>
      <c r="I118" s="32" t="s">
        <v>331</v>
      </c>
      <c r="J118" s="32" t="s">
        <v>325</v>
      </c>
      <c r="K118" s="32" t="s">
        <v>356</v>
      </c>
      <c r="L118" s="32" t="s">
        <v>327</v>
      </c>
    </row>
    <row r="119" spans="1:12">
      <c r="A119" s="36" t="s">
        <v>6</v>
      </c>
      <c r="B119" s="39">
        <v>2015</v>
      </c>
      <c r="C119" s="32" t="s">
        <v>385</v>
      </c>
      <c r="D119" s="32">
        <v>2012</v>
      </c>
      <c r="E119" s="32">
        <v>2019</v>
      </c>
      <c r="F119" s="32" t="s">
        <v>320</v>
      </c>
      <c r="G119" s="32" t="s">
        <v>323</v>
      </c>
      <c r="H119" s="38">
        <v>1966</v>
      </c>
      <c r="I119" s="32" t="s">
        <v>342</v>
      </c>
      <c r="J119" s="32" t="s">
        <v>325</v>
      </c>
      <c r="K119" s="32" t="s">
        <v>338</v>
      </c>
      <c r="L119" s="32" t="s">
        <v>339</v>
      </c>
    </row>
    <row r="120" spans="1:12">
      <c r="A120" s="36" t="s">
        <v>6</v>
      </c>
      <c r="B120" s="39">
        <v>2016</v>
      </c>
      <c r="C120" s="32" t="s">
        <v>356</v>
      </c>
      <c r="D120" s="32">
        <v>2016</v>
      </c>
      <c r="E120" s="32">
        <v>2018</v>
      </c>
      <c r="F120" s="32" t="s">
        <v>321</v>
      </c>
      <c r="G120" s="32" t="s">
        <v>323</v>
      </c>
      <c r="H120" s="38">
        <v>1964</v>
      </c>
      <c r="I120" s="32" t="s">
        <v>327</v>
      </c>
      <c r="J120" s="32" t="s">
        <v>325</v>
      </c>
      <c r="K120" s="32" t="s">
        <v>338</v>
      </c>
      <c r="L120" s="32" t="s">
        <v>339</v>
      </c>
    </row>
    <row r="121" spans="1:12">
      <c r="A121" s="36" t="s">
        <v>6</v>
      </c>
      <c r="B121" s="39">
        <v>2016</v>
      </c>
      <c r="C121" s="32" t="s">
        <v>385</v>
      </c>
      <c r="D121" s="32">
        <v>2012</v>
      </c>
      <c r="E121" s="32">
        <v>2019</v>
      </c>
      <c r="F121" s="32" t="s">
        <v>320</v>
      </c>
      <c r="G121" s="32" t="s">
        <v>323</v>
      </c>
      <c r="H121" s="38">
        <v>1966</v>
      </c>
      <c r="I121" s="32" t="s">
        <v>342</v>
      </c>
      <c r="J121" s="32" t="s">
        <v>325</v>
      </c>
      <c r="K121" s="32" t="s">
        <v>338</v>
      </c>
      <c r="L121" s="32" t="s">
        <v>339</v>
      </c>
    </row>
    <row r="122" spans="1:12">
      <c r="A122" s="36" t="s">
        <v>6</v>
      </c>
      <c r="B122" s="39">
        <v>2017</v>
      </c>
      <c r="C122" s="32" t="s">
        <v>356</v>
      </c>
      <c r="D122" s="32">
        <v>2016</v>
      </c>
      <c r="E122" s="32">
        <v>2018</v>
      </c>
      <c r="F122" s="32" t="s">
        <v>321</v>
      </c>
      <c r="G122" s="32" t="s">
        <v>323</v>
      </c>
      <c r="H122" s="38">
        <v>1964</v>
      </c>
      <c r="I122" s="32" t="s">
        <v>327</v>
      </c>
      <c r="J122" s="32" t="s">
        <v>325</v>
      </c>
      <c r="K122" s="32" t="s">
        <v>338</v>
      </c>
      <c r="L122" s="32" t="s">
        <v>339</v>
      </c>
    </row>
    <row r="123" spans="1:12">
      <c r="A123" s="36" t="s">
        <v>6</v>
      </c>
      <c r="B123" s="39">
        <v>2017</v>
      </c>
      <c r="C123" s="32" t="s">
        <v>385</v>
      </c>
      <c r="D123" s="32">
        <v>2012</v>
      </c>
      <c r="E123" s="32">
        <v>2019</v>
      </c>
      <c r="F123" s="32" t="s">
        <v>320</v>
      </c>
      <c r="G123" s="32" t="s">
        <v>323</v>
      </c>
      <c r="H123" s="38">
        <v>1966</v>
      </c>
      <c r="I123" s="32" t="s">
        <v>342</v>
      </c>
      <c r="J123" s="32" t="s">
        <v>325</v>
      </c>
      <c r="K123" s="32" t="s">
        <v>338</v>
      </c>
      <c r="L123" s="32" t="s">
        <v>339</v>
      </c>
    </row>
    <row r="124" spans="1:12">
      <c r="A124" s="36" t="s">
        <v>6</v>
      </c>
      <c r="B124" s="39">
        <v>2018</v>
      </c>
      <c r="C124" s="32" t="s">
        <v>338</v>
      </c>
      <c r="D124" s="32">
        <v>2018</v>
      </c>
      <c r="E124" s="32">
        <v>2019</v>
      </c>
      <c r="F124" s="32" t="s">
        <v>321</v>
      </c>
      <c r="G124" s="32" t="s">
        <v>323</v>
      </c>
      <c r="H124" s="38">
        <v>1965</v>
      </c>
      <c r="I124" s="32" t="s">
        <v>339</v>
      </c>
      <c r="J124" s="32" t="s">
        <v>325</v>
      </c>
      <c r="K124" s="32" t="s">
        <v>382</v>
      </c>
      <c r="L124" s="32" t="s">
        <v>332</v>
      </c>
    </row>
    <row r="125" spans="1:12">
      <c r="A125" s="36" t="s">
        <v>6</v>
      </c>
      <c r="B125" s="39">
        <v>2018</v>
      </c>
      <c r="C125" s="32" t="s">
        <v>385</v>
      </c>
      <c r="D125" s="32">
        <v>2012</v>
      </c>
      <c r="E125" s="32">
        <v>2019</v>
      </c>
      <c r="F125" s="32" t="s">
        <v>320</v>
      </c>
      <c r="G125" s="32" t="s">
        <v>323</v>
      </c>
      <c r="H125" s="38">
        <v>1966</v>
      </c>
      <c r="I125" s="32" t="s">
        <v>342</v>
      </c>
      <c r="J125" s="32" t="s">
        <v>325</v>
      </c>
      <c r="K125" s="32" t="s">
        <v>338</v>
      </c>
      <c r="L125" s="32" t="s">
        <v>339</v>
      </c>
    </row>
    <row r="126" spans="1:12">
      <c r="A126" s="36" t="s">
        <v>6</v>
      </c>
      <c r="B126" s="39">
        <v>2019</v>
      </c>
      <c r="C126" s="32" t="s">
        <v>382</v>
      </c>
      <c r="D126" s="32">
        <v>2019</v>
      </c>
      <c r="E126" s="32">
        <v>2021</v>
      </c>
      <c r="F126" s="32" t="s">
        <v>321</v>
      </c>
      <c r="G126" s="32" t="s">
        <v>335</v>
      </c>
      <c r="H126" s="38">
        <v>1967</v>
      </c>
      <c r="I126" s="32" t="s">
        <v>332</v>
      </c>
      <c r="J126" s="32" t="s">
        <v>325</v>
      </c>
      <c r="K126" s="32" t="s">
        <v>383</v>
      </c>
      <c r="L126" s="32" t="s">
        <v>329</v>
      </c>
    </row>
    <row r="127" spans="1:12">
      <c r="A127" s="36" t="s">
        <v>6</v>
      </c>
      <c r="B127" s="39">
        <v>2019</v>
      </c>
      <c r="C127" s="32" t="s">
        <v>338</v>
      </c>
      <c r="D127" s="32">
        <v>2019</v>
      </c>
      <c r="E127" s="32">
        <v>2021</v>
      </c>
      <c r="F127" s="32" t="s">
        <v>320</v>
      </c>
      <c r="G127" s="32" t="s">
        <v>323</v>
      </c>
      <c r="H127" s="38">
        <v>1965</v>
      </c>
      <c r="I127" s="32" t="s">
        <v>339</v>
      </c>
      <c r="J127" s="32" t="s">
        <v>325</v>
      </c>
      <c r="K127" s="32" t="s">
        <v>382</v>
      </c>
      <c r="L127" s="32" t="s">
        <v>332</v>
      </c>
    </row>
    <row r="128" spans="1:12">
      <c r="A128" s="36" t="s">
        <v>6</v>
      </c>
      <c r="B128" s="39">
        <v>2020</v>
      </c>
      <c r="C128" s="32" t="s">
        <v>382</v>
      </c>
      <c r="D128" s="32">
        <v>2019</v>
      </c>
      <c r="E128" s="32">
        <v>2021</v>
      </c>
      <c r="F128" s="32" t="s">
        <v>321</v>
      </c>
      <c r="G128" s="32" t="s">
        <v>335</v>
      </c>
      <c r="H128" s="38">
        <v>1967</v>
      </c>
      <c r="I128" s="32" t="s">
        <v>332</v>
      </c>
      <c r="J128" s="32" t="s">
        <v>325</v>
      </c>
      <c r="K128" s="32" t="s">
        <v>383</v>
      </c>
      <c r="L128" s="32" t="s">
        <v>329</v>
      </c>
    </row>
    <row r="129" spans="1:12">
      <c r="A129" s="36" t="s">
        <v>6</v>
      </c>
      <c r="B129" s="39">
        <v>2020</v>
      </c>
      <c r="C129" s="32" t="s">
        <v>338</v>
      </c>
      <c r="D129" s="32">
        <v>2019</v>
      </c>
      <c r="E129" s="32">
        <v>2021</v>
      </c>
      <c r="F129" s="32" t="s">
        <v>320</v>
      </c>
      <c r="G129" s="32" t="s">
        <v>323</v>
      </c>
      <c r="H129" s="38">
        <v>1965</v>
      </c>
      <c r="I129" s="32" t="s">
        <v>339</v>
      </c>
      <c r="J129" s="32" t="s">
        <v>325</v>
      </c>
      <c r="K129" s="32" t="s">
        <v>382</v>
      </c>
      <c r="L129" s="32" t="s">
        <v>332</v>
      </c>
    </row>
    <row r="130" spans="1:12">
      <c r="A130" s="36" t="s">
        <v>6</v>
      </c>
      <c r="B130" s="39">
        <v>2021</v>
      </c>
      <c r="C130" s="32" t="s">
        <v>382</v>
      </c>
      <c r="D130" s="32">
        <v>2019</v>
      </c>
      <c r="E130" s="32">
        <v>2021</v>
      </c>
      <c r="F130" s="32" t="s">
        <v>321</v>
      </c>
      <c r="G130" s="32" t="s">
        <v>335</v>
      </c>
      <c r="H130" s="38">
        <v>1967</v>
      </c>
      <c r="I130" s="32" t="s">
        <v>332</v>
      </c>
      <c r="J130" s="32" t="s">
        <v>325</v>
      </c>
      <c r="K130" s="32" t="s">
        <v>383</v>
      </c>
      <c r="L130" s="32" t="s">
        <v>329</v>
      </c>
    </row>
    <row r="131" spans="1:12">
      <c r="A131" s="36" t="s">
        <v>6</v>
      </c>
      <c r="B131" s="39">
        <v>2021</v>
      </c>
      <c r="C131" s="32" t="s">
        <v>338</v>
      </c>
      <c r="D131" s="32">
        <v>2019</v>
      </c>
      <c r="E131" s="32">
        <v>2021</v>
      </c>
      <c r="F131" s="32" t="s">
        <v>320</v>
      </c>
      <c r="G131" s="32" t="s">
        <v>323</v>
      </c>
      <c r="H131" s="38">
        <v>1965</v>
      </c>
      <c r="I131" s="32" t="s">
        <v>339</v>
      </c>
      <c r="J131" s="32" t="s">
        <v>325</v>
      </c>
      <c r="K131" s="32" t="s">
        <v>382</v>
      </c>
      <c r="L131" s="32" t="s">
        <v>332</v>
      </c>
    </row>
    <row r="132" spans="1:12">
      <c r="A132" s="36" t="s">
        <v>6</v>
      </c>
      <c r="B132" s="39">
        <v>2022</v>
      </c>
      <c r="C132" s="35"/>
      <c r="D132" s="35"/>
      <c r="E132" s="35"/>
      <c r="F132" s="35" t="s">
        <v>321</v>
      </c>
      <c r="G132" s="35"/>
      <c r="H132" s="39"/>
      <c r="I132" s="35"/>
      <c r="J132" s="35"/>
      <c r="K132" s="35"/>
      <c r="L132" s="35"/>
    </row>
    <row r="133" spans="1:12">
      <c r="A133" s="36" t="s">
        <v>6</v>
      </c>
      <c r="B133" s="39">
        <v>2022</v>
      </c>
      <c r="C133" s="35"/>
      <c r="D133" s="35"/>
      <c r="E133" s="35"/>
      <c r="F133" s="35" t="s">
        <v>320</v>
      </c>
      <c r="G133" s="35"/>
      <c r="H133" s="39"/>
      <c r="I133" s="35"/>
      <c r="J133" s="35"/>
      <c r="K133" s="35"/>
      <c r="L133" s="35"/>
    </row>
    <row r="134" spans="1:12">
      <c r="A134" s="35" t="s">
        <v>7</v>
      </c>
      <c r="B134" s="39">
        <v>2012</v>
      </c>
      <c r="C134" s="32" t="s">
        <v>392</v>
      </c>
      <c r="D134" s="32">
        <v>2011</v>
      </c>
      <c r="E134" s="32">
        <v>2013</v>
      </c>
      <c r="F134" s="32" t="s">
        <v>321</v>
      </c>
      <c r="G134" s="32" t="s">
        <v>323</v>
      </c>
      <c r="H134" s="38">
        <v>1957</v>
      </c>
      <c r="I134" s="32" t="s">
        <v>367</v>
      </c>
      <c r="J134" s="32" t="s">
        <v>325</v>
      </c>
      <c r="K134" s="32" t="s">
        <v>372</v>
      </c>
      <c r="L134" s="32" t="s">
        <v>373</v>
      </c>
    </row>
    <row r="135" spans="1:12">
      <c r="A135" s="35" t="s">
        <v>7</v>
      </c>
      <c r="B135" s="39">
        <v>2012</v>
      </c>
      <c r="C135" s="32" t="s">
        <v>330</v>
      </c>
      <c r="D135" s="32">
        <v>2011</v>
      </c>
      <c r="E135" s="32">
        <v>2015</v>
      </c>
      <c r="F135" s="32" t="s">
        <v>320</v>
      </c>
      <c r="G135" s="32" t="s">
        <v>335</v>
      </c>
      <c r="H135" s="38">
        <v>1962</v>
      </c>
      <c r="I135" s="32" t="s">
        <v>331</v>
      </c>
      <c r="J135" s="32" t="s">
        <v>325</v>
      </c>
      <c r="K135" s="32" t="s">
        <v>388</v>
      </c>
      <c r="L135" s="32" t="s">
        <v>389</v>
      </c>
    </row>
    <row r="136" spans="1:12">
      <c r="A136" s="35" t="s">
        <v>7</v>
      </c>
      <c r="B136" s="39">
        <v>2013</v>
      </c>
      <c r="C136" s="32" t="s">
        <v>372</v>
      </c>
      <c r="D136" s="32">
        <v>2013</v>
      </c>
      <c r="E136" s="32">
        <v>2018</v>
      </c>
      <c r="F136" s="32" t="s">
        <v>321</v>
      </c>
      <c r="G136" s="32" t="s">
        <v>323</v>
      </c>
      <c r="H136" s="38">
        <v>1960</v>
      </c>
      <c r="I136" s="32" t="s">
        <v>373</v>
      </c>
      <c r="J136" s="32" t="s">
        <v>325</v>
      </c>
      <c r="K136" s="32" t="s">
        <v>386</v>
      </c>
      <c r="L136" s="32" t="s">
        <v>324</v>
      </c>
    </row>
    <row r="137" spans="1:12">
      <c r="A137" s="35" t="s">
        <v>7</v>
      </c>
      <c r="B137" s="39">
        <v>2013</v>
      </c>
      <c r="C137" s="32" t="s">
        <v>330</v>
      </c>
      <c r="D137" s="32">
        <v>2011</v>
      </c>
      <c r="E137" s="32">
        <v>2015</v>
      </c>
      <c r="F137" s="32" t="s">
        <v>320</v>
      </c>
      <c r="G137" s="32" t="s">
        <v>335</v>
      </c>
      <c r="H137" s="38">
        <v>1962</v>
      </c>
      <c r="I137" s="32" t="s">
        <v>331</v>
      </c>
      <c r="J137" s="32" t="s">
        <v>325</v>
      </c>
      <c r="K137" s="32" t="s">
        <v>388</v>
      </c>
      <c r="L137" s="32" t="s">
        <v>389</v>
      </c>
    </row>
    <row r="138" spans="1:12">
      <c r="A138" s="35" t="s">
        <v>7</v>
      </c>
      <c r="B138" s="39">
        <v>2014</v>
      </c>
      <c r="C138" s="32" t="s">
        <v>372</v>
      </c>
      <c r="D138" s="32">
        <v>2013</v>
      </c>
      <c r="E138" s="32">
        <v>2018</v>
      </c>
      <c r="F138" s="32" t="s">
        <v>321</v>
      </c>
      <c r="G138" s="32" t="s">
        <v>323</v>
      </c>
      <c r="H138" s="38">
        <v>1960</v>
      </c>
      <c r="I138" s="32" t="s">
        <v>373</v>
      </c>
      <c r="J138" s="32" t="s">
        <v>325</v>
      </c>
      <c r="K138" s="32" t="s">
        <v>386</v>
      </c>
      <c r="L138" s="32" t="s">
        <v>324</v>
      </c>
    </row>
    <row r="139" spans="1:12">
      <c r="A139" s="35" t="s">
        <v>7</v>
      </c>
      <c r="B139" s="39">
        <v>2014</v>
      </c>
      <c r="C139" s="32" t="s">
        <v>330</v>
      </c>
      <c r="D139" s="32">
        <v>2011</v>
      </c>
      <c r="E139" s="32">
        <v>2015</v>
      </c>
      <c r="F139" s="32" t="s">
        <v>320</v>
      </c>
      <c r="G139" s="32" t="s">
        <v>335</v>
      </c>
      <c r="H139" s="38">
        <v>1962</v>
      </c>
      <c r="I139" s="32" t="s">
        <v>331</v>
      </c>
      <c r="J139" s="32" t="s">
        <v>325</v>
      </c>
      <c r="K139" s="32" t="s">
        <v>388</v>
      </c>
      <c r="L139" s="32" t="s">
        <v>389</v>
      </c>
    </row>
    <row r="140" spans="1:12">
      <c r="A140" s="36" t="s">
        <v>7</v>
      </c>
      <c r="B140" s="39">
        <v>2015</v>
      </c>
      <c r="C140" s="32" t="s">
        <v>372</v>
      </c>
      <c r="D140" s="32">
        <v>2013</v>
      </c>
      <c r="E140" s="32">
        <v>2018</v>
      </c>
      <c r="F140" s="32" t="s">
        <v>321</v>
      </c>
      <c r="G140" s="32" t="s">
        <v>323</v>
      </c>
      <c r="H140" s="38">
        <v>1960</v>
      </c>
      <c r="I140" s="32" t="s">
        <v>373</v>
      </c>
      <c r="J140" s="32" t="s">
        <v>325</v>
      </c>
      <c r="K140" s="32" t="s">
        <v>386</v>
      </c>
      <c r="L140" s="32" t="s">
        <v>324</v>
      </c>
    </row>
    <row r="141" spans="1:12">
      <c r="A141" s="36" t="s">
        <v>7</v>
      </c>
      <c r="B141" s="39">
        <v>2015</v>
      </c>
      <c r="C141" s="32" t="s">
        <v>388</v>
      </c>
      <c r="D141" s="32">
        <v>2015</v>
      </c>
      <c r="E141" s="32">
        <v>2019</v>
      </c>
      <c r="F141" s="32" t="s">
        <v>320</v>
      </c>
      <c r="G141" s="32" t="s">
        <v>323</v>
      </c>
      <c r="H141" s="38">
        <v>1959</v>
      </c>
      <c r="I141" s="32" t="s">
        <v>389</v>
      </c>
      <c r="J141" s="32" t="s">
        <v>325</v>
      </c>
      <c r="K141" s="32" t="s">
        <v>386</v>
      </c>
      <c r="L141" s="32" t="s">
        <v>324</v>
      </c>
    </row>
    <row r="142" spans="1:12">
      <c r="A142" s="36" t="s">
        <v>7</v>
      </c>
      <c r="B142" s="39">
        <v>2016</v>
      </c>
      <c r="C142" s="32" t="s">
        <v>372</v>
      </c>
      <c r="D142" s="32">
        <v>2013</v>
      </c>
      <c r="E142" s="32">
        <v>2018</v>
      </c>
      <c r="F142" s="32" t="s">
        <v>321</v>
      </c>
      <c r="G142" s="32" t="s">
        <v>323</v>
      </c>
      <c r="H142" s="38">
        <v>1960</v>
      </c>
      <c r="I142" s="32" t="s">
        <v>373</v>
      </c>
      <c r="J142" s="32" t="s">
        <v>325</v>
      </c>
      <c r="K142" s="32" t="s">
        <v>386</v>
      </c>
      <c r="L142" s="32" t="s">
        <v>324</v>
      </c>
    </row>
    <row r="143" spans="1:12">
      <c r="A143" s="36" t="s">
        <v>7</v>
      </c>
      <c r="B143" s="39">
        <v>2016</v>
      </c>
      <c r="C143" s="32" t="s">
        <v>388</v>
      </c>
      <c r="D143" s="32">
        <v>2015</v>
      </c>
      <c r="E143" s="32">
        <v>2019</v>
      </c>
      <c r="F143" s="32" t="s">
        <v>320</v>
      </c>
      <c r="G143" s="32" t="s">
        <v>323</v>
      </c>
      <c r="H143" s="38">
        <v>1959</v>
      </c>
      <c r="I143" s="32" t="s">
        <v>389</v>
      </c>
      <c r="J143" s="32" t="s">
        <v>325</v>
      </c>
      <c r="K143" s="32" t="s">
        <v>386</v>
      </c>
      <c r="L143" s="32" t="s">
        <v>324</v>
      </c>
    </row>
    <row r="144" spans="1:12">
      <c r="A144" s="36" t="s">
        <v>7</v>
      </c>
      <c r="B144" s="39">
        <v>2017</v>
      </c>
      <c r="C144" s="32" t="s">
        <v>372</v>
      </c>
      <c r="D144" s="32">
        <v>2013</v>
      </c>
      <c r="E144" s="32">
        <v>2018</v>
      </c>
      <c r="F144" s="32" t="s">
        <v>321</v>
      </c>
      <c r="G144" s="32" t="s">
        <v>323</v>
      </c>
      <c r="H144" s="38">
        <v>1960</v>
      </c>
      <c r="I144" s="32" t="s">
        <v>373</v>
      </c>
      <c r="J144" s="32" t="s">
        <v>325</v>
      </c>
      <c r="K144" s="32" t="s">
        <v>386</v>
      </c>
      <c r="L144" s="32" t="s">
        <v>324</v>
      </c>
    </row>
    <row r="145" spans="1:12">
      <c r="A145" s="36" t="s">
        <v>7</v>
      </c>
      <c r="B145" s="39">
        <v>2017</v>
      </c>
      <c r="C145" s="32" t="s">
        <v>388</v>
      </c>
      <c r="D145" s="32">
        <v>2015</v>
      </c>
      <c r="E145" s="32">
        <v>2019</v>
      </c>
      <c r="F145" s="32" t="s">
        <v>320</v>
      </c>
      <c r="G145" s="32" t="s">
        <v>323</v>
      </c>
      <c r="H145" s="38">
        <v>1959</v>
      </c>
      <c r="I145" s="32" t="s">
        <v>389</v>
      </c>
      <c r="J145" s="32" t="s">
        <v>325</v>
      </c>
      <c r="K145" s="32" t="s">
        <v>386</v>
      </c>
      <c r="L145" s="32" t="s">
        <v>324</v>
      </c>
    </row>
    <row r="146" spans="1:12">
      <c r="A146" s="36" t="s">
        <v>7</v>
      </c>
      <c r="B146" s="39">
        <v>2018</v>
      </c>
      <c r="C146" s="32" t="s">
        <v>386</v>
      </c>
      <c r="D146" s="32">
        <v>2018</v>
      </c>
      <c r="E146" s="32">
        <v>2019</v>
      </c>
      <c r="F146" s="32" t="s">
        <v>321</v>
      </c>
      <c r="G146" s="32" t="s">
        <v>323</v>
      </c>
      <c r="H146" s="38">
        <v>1962</v>
      </c>
      <c r="I146" s="32" t="s">
        <v>324</v>
      </c>
      <c r="J146" s="32" t="s">
        <v>325</v>
      </c>
      <c r="K146" s="32" t="s">
        <v>387</v>
      </c>
      <c r="L146" s="32" t="s">
        <v>329</v>
      </c>
    </row>
    <row r="147" spans="1:12">
      <c r="A147" s="36" t="s">
        <v>7</v>
      </c>
      <c r="B147" s="39">
        <v>2018</v>
      </c>
      <c r="C147" s="32" t="s">
        <v>388</v>
      </c>
      <c r="D147" s="32">
        <v>2015</v>
      </c>
      <c r="E147" s="32">
        <v>2019</v>
      </c>
      <c r="F147" s="32" t="s">
        <v>320</v>
      </c>
      <c r="G147" s="32" t="s">
        <v>323</v>
      </c>
      <c r="H147" s="38">
        <v>1959</v>
      </c>
      <c r="I147" s="32" t="s">
        <v>389</v>
      </c>
      <c r="J147" s="32" t="s">
        <v>325</v>
      </c>
      <c r="K147" s="32" t="s">
        <v>386</v>
      </c>
      <c r="L147" s="32" t="s">
        <v>324</v>
      </c>
    </row>
    <row r="148" spans="1:12">
      <c r="A148" s="36" t="s">
        <v>7</v>
      </c>
      <c r="B148" s="39">
        <v>2019</v>
      </c>
      <c r="C148" s="32" t="s">
        <v>387</v>
      </c>
      <c r="D148" s="32">
        <v>2019</v>
      </c>
      <c r="E148" s="32">
        <v>2021</v>
      </c>
      <c r="F148" s="32" t="s">
        <v>321</v>
      </c>
      <c r="G148" s="32" t="s">
        <v>323</v>
      </c>
      <c r="H148" s="38">
        <v>1976</v>
      </c>
      <c r="I148" s="32" t="s">
        <v>329</v>
      </c>
      <c r="J148" s="32" t="s">
        <v>325</v>
      </c>
      <c r="K148" s="32" t="s">
        <v>390</v>
      </c>
      <c r="L148" s="32" t="s">
        <v>391</v>
      </c>
    </row>
    <row r="149" spans="1:12">
      <c r="A149" s="36" t="s">
        <v>7</v>
      </c>
      <c r="B149" s="39">
        <v>2019</v>
      </c>
      <c r="C149" s="32" t="s">
        <v>386</v>
      </c>
      <c r="D149" s="32">
        <v>2019</v>
      </c>
      <c r="E149" s="32">
        <v>2021</v>
      </c>
      <c r="F149" s="32" t="s">
        <v>320</v>
      </c>
      <c r="G149" s="32" t="s">
        <v>323</v>
      </c>
      <c r="H149" s="38">
        <v>1962</v>
      </c>
      <c r="I149" s="32" t="s">
        <v>324</v>
      </c>
      <c r="J149" s="32" t="s">
        <v>325</v>
      </c>
      <c r="K149" s="32" t="s">
        <v>387</v>
      </c>
      <c r="L149" s="32" t="s">
        <v>329</v>
      </c>
    </row>
    <row r="150" spans="1:12">
      <c r="A150" s="36" t="s">
        <v>7</v>
      </c>
      <c r="B150" s="39">
        <v>2020</v>
      </c>
      <c r="C150" s="32" t="s">
        <v>387</v>
      </c>
      <c r="D150" s="32">
        <v>2019</v>
      </c>
      <c r="E150" s="32">
        <v>2021</v>
      </c>
      <c r="F150" s="32" t="s">
        <v>321</v>
      </c>
      <c r="G150" s="32" t="s">
        <v>323</v>
      </c>
      <c r="H150" s="38">
        <v>1976</v>
      </c>
      <c r="I150" s="32" t="s">
        <v>329</v>
      </c>
      <c r="J150" s="32" t="s">
        <v>325</v>
      </c>
      <c r="K150" s="32" t="s">
        <v>390</v>
      </c>
      <c r="L150" s="32" t="s">
        <v>391</v>
      </c>
    </row>
    <row r="151" spans="1:12">
      <c r="A151" s="36" t="s">
        <v>7</v>
      </c>
      <c r="B151" s="39">
        <v>2020</v>
      </c>
      <c r="C151" s="32" t="s">
        <v>386</v>
      </c>
      <c r="D151" s="32">
        <v>2019</v>
      </c>
      <c r="E151" s="32">
        <v>2021</v>
      </c>
      <c r="F151" s="32" t="s">
        <v>320</v>
      </c>
      <c r="G151" s="32" t="s">
        <v>323</v>
      </c>
      <c r="H151" s="38">
        <v>1962</v>
      </c>
      <c r="I151" s="32" t="s">
        <v>324</v>
      </c>
      <c r="J151" s="32" t="s">
        <v>325</v>
      </c>
      <c r="K151" s="32" t="s">
        <v>387</v>
      </c>
      <c r="L151" s="32" t="s">
        <v>329</v>
      </c>
    </row>
    <row r="152" spans="1:12">
      <c r="A152" s="36" t="s">
        <v>7</v>
      </c>
      <c r="B152" s="39">
        <v>2021</v>
      </c>
      <c r="C152" s="32" t="s">
        <v>387</v>
      </c>
      <c r="D152" s="32">
        <v>2019</v>
      </c>
      <c r="E152" s="32">
        <v>2021</v>
      </c>
      <c r="F152" s="32" t="s">
        <v>321</v>
      </c>
      <c r="G152" s="32" t="s">
        <v>323</v>
      </c>
      <c r="H152" s="38">
        <v>1976</v>
      </c>
      <c r="I152" s="32" t="s">
        <v>329</v>
      </c>
      <c r="J152" s="32" t="s">
        <v>325</v>
      </c>
      <c r="K152" s="32" t="s">
        <v>390</v>
      </c>
      <c r="L152" s="32" t="s">
        <v>391</v>
      </c>
    </row>
    <row r="153" spans="1:12">
      <c r="A153" s="36" t="s">
        <v>7</v>
      </c>
      <c r="B153" s="39">
        <v>2021</v>
      </c>
      <c r="C153" s="32" t="s">
        <v>386</v>
      </c>
      <c r="D153" s="32">
        <v>2019</v>
      </c>
      <c r="E153" s="32">
        <v>2021</v>
      </c>
      <c r="F153" s="32" t="s">
        <v>320</v>
      </c>
      <c r="G153" s="32" t="s">
        <v>323</v>
      </c>
      <c r="H153" s="38">
        <v>1962</v>
      </c>
      <c r="I153" s="32" t="s">
        <v>324</v>
      </c>
      <c r="J153" s="32" t="s">
        <v>325</v>
      </c>
      <c r="K153" s="32" t="s">
        <v>387</v>
      </c>
      <c r="L153" s="32" t="s">
        <v>329</v>
      </c>
    </row>
    <row r="154" spans="1:12">
      <c r="A154" s="36" t="s">
        <v>7</v>
      </c>
      <c r="B154" s="39">
        <v>2022</v>
      </c>
      <c r="C154" s="35"/>
      <c r="D154" s="35"/>
      <c r="E154" s="35"/>
      <c r="F154" s="35" t="s">
        <v>321</v>
      </c>
      <c r="G154" s="35"/>
      <c r="H154" s="39"/>
      <c r="I154" s="35"/>
      <c r="J154" s="35"/>
      <c r="K154" s="35"/>
      <c r="L154" s="35"/>
    </row>
    <row r="155" spans="1:12">
      <c r="A155" s="36" t="s">
        <v>7</v>
      </c>
      <c r="B155" s="39">
        <v>2022</v>
      </c>
      <c r="C155" s="35"/>
      <c r="D155" s="35"/>
      <c r="E155" s="35"/>
      <c r="F155" s="35" t="s">
        <v>320</v>
      </c>
      <c r="G155" s="35"/>
      <c r="H155" s="39"/>
      <c r="I155" s="35"/>
      <c r="J155" s="35"/>
      <c r="K155" s="35"/>
      <c r="L155" s="35"/>
    </row>
    <row r="156" spans="1:12">
      <c r="A156" s="35" t="s">
        <v>8</v>
      </c>
      <c r="B156" s="39">
        <v>2012</v>
      </c>
      <c r="C156" s="32" t="s">
        <v>393</v>
      </c>
      <c r="D156" s="32">
        <v>2010</v>
      </c>
      <c r="E156" s="32">
        <v>2013</v>
      </c>
      <c r="F156" s="32" t="s">
        <v>321</v>
      </c>
      <c r="G156" s="32" t="s">
        <v>323</v>
      </c>
      <c r="H156" s="38">
        <v>1962</v>
      </c>
      <c r="I156" s="32" t="s">
        <v>342</v>
      </c>
      <c r="J156" s="32" t="s">
        <v>325</v>
      </c>
      <c r="K156" s="32" t="s">
        <v>351</v>
      </c>
      <c r="L156" s="32" t="s">
        <v>352</v>
      </c>
    </row>
    <row r="157" spans="1:12">
      <c r="A157" s="35" t="s">
        <v>8</v>
      </c>
      <c r="B157" s="39">
        <v>2012</v>
      </c>
      <c r="C157" s="32" t="s">
        <v>406</v>
      </c>
      <c r="D157" s="32">
        <v>2008</v>
      </c>
      <c r="E157" s="32">
        <v>2014</v>
      </c>
      <c r="F157" s="32" t="s">
        <v>320</v>
      </c>
      <c r="G157" s="32" t="s">
        <v>323</v>
      </c>
      <c r="H157" s="38">
        <v>1961</v>
      </c>
      <c r="I157" s="32" t="s">
        <v>367</v>
      </c>
      <c r="J157" s="32" t="s">
        <v>340</v>
      </c>
      <c r="K157" s="32" t="s">
        <v>333</v>
      </c>
      <c r="L157" s="32" t="s">
        <v>334</v>
      </c>
    </row>
    <row r="158" spans="1:12">
      <c r="A158" s="35" t="s">
        <v>8</v>
      </c>
      <c r="B158" s="39">
        <v>2013</v>
      </c>
      <c r="C158" s="32" t="s">
        <v>351</v>
      </c>
      <c r="D158" s="32">
        <v>2013</v>
      </c>
      <c r="E158" s="32">
        <v>2016</v>
      </c>
      <c r="F158" s="32" t="s">
        <v>321</v>
      </c>
      <c r="G158" s="32" t="s">
        <v>323</v>
      </c>
      <c r="H158" s="38">
        <v>1964</v>
      </c>
      <c r="I158" s="32" t="s">
        <v>352</v>
      </c>
      <c r="J158" s="32" t="s">
        <v>325</v>
      </c>
      <c r="K158" s="32" t="s">
        <v>394</v>
      </c>
      <c r="L158" s="32" t="s">
        <v>395</v>
      </c>
    </row>
    <row r="159" spans="1:12">
      <c r="A159" s="35" t="s">
        <v>8</v>
      </c>
      <c r="B159" s="39">
        <v>2013</v>
      </c>
      <c r="C159" s="32" t="s">
        <v>406</v>
      </c>
      <c r="D159" s="32">
        <v>2008</v>
      </c>
      <c r="E159" s="32">
        <v>2014</v>
      </c>
      <c r="F159" s="32" t="s">
        <v>320</v>
      </c>
      <c r="G159" s="32" t="s">
        <v>323</v>
      </c>
      <c r="H159" s="38">
        <v>1961</v>
      </c>
      <c r="I159" s="32" t="s">
        <v>367</v>
      </c>
      <c r="J159" s="32" t="s">
        <v>340</v>
      </c>
      <c r="K159" s="32" t="s">
        <v>333</v>
      </c>
      <c r="L159" s="32" t="s">
        <v>334</v>
      </c>
    </row>
    <row r="160" spans="1:12">
      <c r="A160" s="35" t="s">
        <v>8</v>
      </c>
      <c r="B160" s="39">
        <v>2014</v>
      </c>
      <c r="C160" s="32" t="s">
        <v>351</v>
      </c>
      <c r="D160" s="32">
        <v>2013</v>
      </c>
      <c r="E160" s="32">
        <v>2016</v>
      </c>
      <c r="F160" s="32" t="s">
        <v>321</v>
      </c>
      <c r="G160" s="32" t="s">
        <v>323</v>
      </c>
      <c r="H160" s="38">
        <v>1964</v>
      </c>
      <c r="I160" s="32" t="s">
        <v>352</v>
      </c>
      <c r="J160" s="32" t="s">
        <v>325</v>
      </c>
      <c r="K160" s="32" t="s">
        <v>394</v>
      </c>
      <c r="L160" s="32" t="s">
        <v>395</v>
      </c>
    </row>
    <row r="161" spans="1:12">
      <c r="A161" s="35" t="s">
        <v>8</v>
      </c>
      <c r="B161" s="39">
        <v>2014</v>
      </c>
      <c r="C161" s="32" t="s">
        <v>333</v>
      </c>
      <c r="D161" s="32">
        <v>2014</v>
      </c>
      <c r="E161" s="32">
        <v>2017</v>
      </c>
      <c r="F161" s="32" t="s">
        <v>320</v>
      </c>
      <c r="G161" s="32" t="s">
        <v>323</v>
      </c>
      <c r="H161" s="38">
        <v>1964</v>
      </c>
      <c r="I161" s="32" t="s">
        <v>334</v>
      </c>
      <c r="J161" s="32" t="s">
        <v>325</v>
      </c>
      <c r="K161" s="32" t="s">
        <v>399</v>
      </c>
      <c r="L161" s="32" t="s">
        <v>389</v>
      </c>
    </row>
    <row r="162" spans="1:12">
      <c r="A162" s="36" t="s">
        <v>8</v>
      </c>
      <c r="B162" s="39">
        <v>2015</v>
      </c>
      <c r="C162" s="32" t="s">
        <v>351</v>
      </c>
      <c r="D162" s="32">
        <v>2013</v>
      </c>
      <c r="E162" s="32">
        <v>2016</v>
      </c>
      <c r="F162" s="32" t="s">
        <v>321</v>
      </c>
      <c r="G162" s="32" t="s">
        <v>323</v>
      </c>
      <c r="H162" s="38">
        <v>1964</v>
      </c>
      <c r="I162" s="32" t="s">
        <v>352</v>
      </c>
      <c r="J162" s="32" t="s">
        <v>325</v>
      </c>
      <c r="K162" s="32" t="s">
        <v>394</v>
      </c>
      <c r="L162" s="32" t="s">
        <v>395</v>
      </c>
    </row>
    <row r="163" spans="1:12">
      <c r="A163" s="36" t="s">
        <v>8</v>
      </c>
      <c r="B163" s="39">
        <v>2015</v>
      </c>
      <c r="C163" s="32" t="s">
        <v>333</v>
      </c>
      <c r="D163" s="32">
        <v>2014</v>
      </c>
      <c r="E163" s="32">
        <v>2017</v>
      </c>
      <c r="F163" s="32" t="s">
        <v>320</v>
      </c>
      <c r="G163" s="32" t="s">
        <v>323</v>
      </c>
      <c r="H163" s="38">
        <v>1964</v>
      </c>
      <c r="I163" s="32" t="s">
        <v>334</v>
      </c>
      <c r="J163" s="32" t="s">
        <v>325</v>
      </c>
      <c r="K163" s="32" t="s">
        <v>399</v>
      </c>
      <c r="L163" s="32" t="s">
        <v>389</v>
      </c>
    </row>
    <row r="164" spans="1:12">
      <c r="A164" s="36" t="s">
        <v>8</v>
      </c>
      <c r="B164" s="39">
        <v>2016</v>
      </c>
      <c r="C164" s="32" t="s">
        <v>394</v>
      </c>
      <c r="D164" s="32">
        <v>2016</v>
      </c>
      <c r="E164" s="32">
        <v>2019</v>
      </c>
      <c r="F164" s="32" t="s">
        <v>321</v>
      </c>
      <c r="G164" s="32" t="s">
        <v>323</v>
      </c>
      <c r="H164" s="38">
        <v>1963</v>
      </c>
      <c r="I164" s="32" t="s">
        <v>395</v>
      </c>
      <c r="J164" s="32" t="s">
        <v>325</v>
      </c>
      <c r="K164" s="32" t="s">
        <v>396</v>
      </c>
      <c r="L164" s="32" t="s">
        <v>324</v>
      </c>
    </row>
    <row r="165" spans="1:12">
      <c r="A165" s="36" t="s">
        <v>8</v>
      </c>
      <c r="B165" s="39">
        <v>2016</v>
      </c>
      <c r="C165" s="32" t="s">
        <v>333</v>
      </c>
      <c r="D165" s="32">
        <v>2014</v>
      </c>
      <c r="E165" s="32">
        <v>2017</v>
      </c>
      <c r="F165" s="32" t="s">
        <v>320</v>
      </c>
      <c r="G165" s="32" t="s">
        <v>323</v>
      </c>
      <c r="H165" s="38">
        <v>1964</v>
      </c>
      <c r="I165" s="32" t="s">
        <v>334</v>
      </c>
      <c r="J165" s="32" t="s">
        <v>325</v>
      </c>
      <c r="K165" s="32" t="s">
        <v>399</v>
      </c>
      <c r="L165" s="32" t="s">
        <v>389</v>
      </c>
    </row>
    <row r="166" spans="1:12">
      <c r="A166" s="36" t="s">
        <v>8</v>
      </c>
      <c r="B166" s="39">
        <v>2017</v>
      </c>
      <c r="C166" s="32" t="s">
        <v>394</v>
      </c>
      <c r="D166" s="32">
        <v>2016</v>
      </c>
      <c r="E166" s="32">
        <v>2019</v>
      </c>
      <c r="F166" s="32" t="s">
        <v>321</v>
      </c>
      <c r="G166" s="32" t="s">
        <v>323</v>
      </c>
      <c r="H166" s="38">
        <v>1963</v>
      </c>
      <c r="I166" s="32" t="s">
        <v>395</v>
      </c>
      <c r="J166" s="32" t="s">
        <v>325</v>
      </c>
      <c r="K166" s="32" t="s">
        <v>396</v>
      </c>
      <c r="L166" s="32" t="s">
        <v>324</v>
      </c>
    </row>
    <row r="167" spans="1:12">
      <c r="A167" s="36" t="s">
        <v>8</v>
      </c>
      <c r="B167" s="39">
        <v>2017</v>
      </c>
      <c r="C167" s="32" t="s">
        <v>399</v>
      </c>
      <c r="D167" s="32">
        <v>2017</v>
      </c>
      <c r="E167" s="32">
        <v>2018</v>
      </c>
      <c r="F167" s="32" t="s">
        <v>320</v>
      </c>
      <c r="G167" s="32" t="s">
        <v>323</v>
      </c>
      <c r="H167" s="38">
        <v>1962</v>
      </c>
      <c r="I167" s="32" t="s">
        <v>389</v>
      </c>
      <c r="J167" s="32" t="s">
        <v>325</v>
      </c>
      <c r="K167" s="32" t="s">
        <v>337</v>
      </c>
      <c r="L167" s="32" t="s">
        <v>329</v>
      </c>
    </row>
    <row r="168" spans="1:12">
      <c r="A168" s="36" t="s">
        <v>8</v>
      </c>
      <c r="B168" s="39">
        <v>2018</v>
      </c>
      <c r="C168" s="32" t="s">
        <v>394</v>
      </c>
      <c r="D168" s="32">
        <v>2016</v>
      </c>
      <c r="E168" s="32">
        <v>2019</v>
      </c>
      <c r="F168" s="32" t="s">
        <v>321</v>
      </c>
      <c r="G168" s="32" t="s">
        <v>323</v>
      </c>
      <c r="H168" s="38">
        <v>1963</v>
      </c>
      <c r="I168" s="32" t="s">
        <v>395</v>
      </c>
      <c r="J168" s="32" t="s">
        <v>325</v>
      </c>
      <c r="K168" s="32" t="s">
        <v>396</v>
      </c>
      <c r="L168" s="32" t="s">
        <v>324</v>
      </c>
    </row>
    <row r="169" spans="1:12">
      <c r="A169" s="36" t="s">
        <v>8</v>
      </c>
      <c r="B169" s="39">
        <v>2018</v>
      </c>
      <c r="C169" s="32" t="s">
        <v>337</v>
      </c>
      <c r="D169" s="32">
        <v>2018</v>
      </c>
      <c r="E169" s="32">
        <v>2019</v>
      </c>
      <c r="F169" s="32" t="s">
        <v>320</v>
      </c>
      <c r="G169" s="32" t="s">
        <v>335</v>
      </c>
      <c r="H169" s="38">
        <v>1964</v>
      </c>
      <c r="I169" s="32" t="s">
        <v>329</v>
      </c>
      <c r="J169" s="32" t="s">
        <v>325</v>
      </c>
      <c r="K169" s="32" t="s">
        <v>394</v>
      </c>
      <c r="L169" s="32" t="s">
        <v>395</v>
      </c>
    </row>
    <row r="170" spans="1:12">
      <c r="A170" s="36" t="s">
        <v>8</v>
      </c>
      <c r="B170" s="39">
        <v>2019</v>
      </c>
      <c r="C170" s="32" t="s">
        <v>396</v>
      </c>
      <c r="D170" s="32">
        <v>2019</v>
      </c>
      <c r="E170" s="32">
        <v>2021</v>
      </c>
      <c r="F170" s="32" t="s">
        <v>321</v>
      </c>
      <c r="G170" s="32" t="s">
        <v>323</v>
      </c>
      <c r="H170" s="38">
        <v>1971</v>
      </c>
      <c r="I170" s="32" t="s">
        <v>324</v>
      </c>
      <c r="J170" s="32" t="s">
        <v>325</v>
      </c>
      <c r="K170" s="32" t="s">
        <v>397</v>
      </c>
      <c r="L170" s="32" t="s">
        <v>398</v>
      </c>
    </row>
    <row r="171" spans="1:12">
      <c r="A171" s="36" t="s">
        <v>8</v>
      </c>
      <c r="B171" s="39">
        <v>2019</v>
      </c>
      <c r="C171" s="32" t="s">
        <v>394</v>
      </c>
      <c r="D171" s="32">
        <v>2019</v>
      </c>
      <c r="E171" s="32">
        <v>2021</v>
      </c>
      <c r="F171" s="32" t="s">
        <v>320</v>
      </c>
      <c r="G171" s="32" t="s">
        <v>323</v>
      </c>
      <c r="H171" s="38">
        <v>1963</v>
      </c>
      <c r="I171" s="32" t="s">
        <v>395</v>
      </c>
      <c r="J171" s="32" t="s">
        <v>325</v>
      </c>
      <c r="K171" s="32" t="s">
        <v>396</v>
      </c>
      <c r="L171" s="32" t="s">
        <v>348</v>
      </c>
    </row>
    <row r="172" spans="1:12">
      <c r="A172" s="36" t="s">
        <v>8</v>
      </c>
      <c r="B172" s="39">
        <v>2020</v>
      </c>
      <c r="C172" s="32" t="s">
        <v>396</v>
      </c>
      <c r="D172" s="32">
        <v>2019</v>
      </c>
      <c r="E172" s="32">
        <v>2021</v>
      </c>
      <c r="F172" s="32" t="s">
        <v>321</v>
      </c>
      <c r="G172" s="32" t="s">
        <v>323</v>
      </c>
      <c r="H172" s="38">
        <v>1971</v>
      </c>
      <c r="I172" s="32" t="s">
        <v>324</v>
      </c>
      <c r="J172" s="32" t="s">
        <v>325</v>
      </c>
      <c r="K172" s="32" t="s">
        <v>397</v>
      </c>
      <c r="L172" s="32" t="s">
        <v>398</v>
      </c>
    </row>
    <row r="173" spans="1:12">
      <c r="A173" s="36" t="s">
        <v>8</v>
      </c>
      <c r="B173" s="39">
        <v>2020</v>
      </c>
      <c r="C173" s="32" t="s">
        <v>394</v>
      </c>
      <c r="D173" s="32">
        <v>2019</v>
      </c>
      <c r="E173" s="32">
        <v>2021</v>
      </c>
      <c r="F173" s="32" t="s">
        <v>320</v>
      </c>
      <c r="G173" s="32" t="s">
        <v>323</v>
      </c>
      <c r="H173" s="38">
        <v>1963</v>
      </c>
      <c r="I173" s="32" t="s">
        <v>395</v>
      </c>
      <c r="J173" s="32" t="s">
        <v>325</v>
      </c>
      <c r="K173" s="32" t="s">
        <v>396</v>
      </c>
      <c r="L173" s="32" t="s">
        <v>348</v>
      </c>
    </row>
    <row r="174" spans="1:12">
      <c r="A174" s="36" t="s">
        <v>8</v>
      </c>
      <c r="B174" s="39">
        <v>2021</v>
      </c>
      <c r="C174" s="32" t="s">
        <v>396</v>
      </c>
      <c r="D174" s="32">
        <v>2019</v>
      </c>
      <c r="E174" s="32">
        <v>2021</v>
      </c>
      <c r="F174" s="32" t="s">
        <v>321</v>
      </c>
      <c r="G174" s="32" t="s">
        <v>323</v>
      </c>
      <c r="H174" s="38">
        <v>1971</v>
      </c>
      <c r="I174" s="32" t="s">
        <v>324</v>
      </c>
      <c r="J174" s="32" t="s">
        <v>325</v>
      </c>
      <c r="K174" s="32" t="s">
        <v>397</v>
      </c>
      <c r="L174" s="32" t="s">
        <v>398</v>
      </c>
    </row>
    <row r="175" spans="1:12">
      <c r="A175" s="36" t="s">
        <v>8</v>
      </c>
      <c r="B175" s="39">
        <v>2021</v>
      </c>
      <c r="C175" s="32" t="s">
        <v>394</v>
      </c>
      <c r="D175" s="32">
        <v>2019</v>
      </c>
      <c r="E175" s="32">
        <v>2021</v>
      </c>
      <c r="F175" s="32" t="s">
        <v>320</v>
      </c>
      <c r="G175" s="32" t="s">
        <v>323</v>
      </c>
      <c r="H175" s="38">
        <v>1963</v>
      </c>
      <c r="I175" s="32" t="s">
        <v>395</v>
      </c>
      <c r="J175" s="32" t="s">
        <v>325</v>
      </c>
      <c r="K175" s="32" t="s">
        <v>396</v>
      </c>
      <c r="L175" s="32" t="s">
        <v>348</v>
      </c>
    </row>
    <row r="176" spans="1:12">
      <c r="A176" s="36" t="s">
        <v>8</v>
      </c>
      <c r="B176" s="39">
        <v>2022</v>
      </c>
      <c r="C176" s="35"/>
      <c r="D176" s="35"/>
      <c r="E176" s="35"/>
      <c r="F176" s="35" t="s">
        <v>321</v>
      </c>
      <c r="G176" s="35"/>
      <c r="H176" s="39"/>
      <c r="I176" s="35"/>
      <c r="J176" s="35"/>
      <c r="K176" s="35"/>
      <c r="L176" s="35"/>
    </row>
    <row r="177" spans="1:12">
      <c r="A177" s="36" t="s">
        <v>8</v>
      </c>
      <c r="B177" s="39">
        <v>2022</v>
      </c>
      <c r="C177" s="35"/>
      <c r="D177" s="35"/>
      <c r="E177" s="35"/>
      <c r="F177" s="35" t="s">
        <v>320</v>
      </c>
      <c r="G177" s="35"/>
      <c r="H177" s="39"/>
      <c r="I177" s="35"/>
      <c r="J177" s="35"/>
      <c r="K177" s="35"/>
      <c r="L177" s="35"/>
    </row>
    <row r="178" spans="1:12">
      <c r="A178" s="35" t="s">
        <v>9</v>
      </c>
      <c r="B178" s="39">
        <v>2012</v>
      </c>
      <c r="C178" s="32" t="s">
        <v>399</v>
      </c>
      <c r="D178" s="32">
        <v>2012</v>
      </c>
      <c r="E178" s="32">
        <v>2016</v>
      </c>
      <c r="F178" s="32" t="s">
        <v>321</v>
      </c>
      <c r="G178" s="32" t="s">
        <v>323</v>
      </c>
      <c r="H178" s="38">
        <v>1962</v>
      </c>
      <c r="I178" s="32" t="s">
        <v>389</v>
      </c>
      <c r="J178" s="32" t="s">
        <v>325</v>
      </c>
      <c r="K178" s="32" t="s">
        <v>400</v>
      </c>
      <c r="L178" s="32" t="s">
        <v>324</v>
      </c>
    </row>
    <row r="179" spans="1:12">
      <c r="A179" s="35" t="s">
        <v>9</v>
      </c>
      <c r="B179" s="39">
        <v>2012</v>
      </c>
      <c r="C179" s="32" t="s">
        <v>407</v>
      </c>
      <c r="D179" s="32">
        <v>2008</v>
      </c>
      <c r="E179" s="32">
        <v>2013</v>
      </c>
      <c r="F179" s="32" t="s">
        <v>320</v>
      </c>
      <c r="G179" s="32" t="s">
        <v>323</v>
      </c>
      <c r="H179" s="38">
        <v>1956</v>
      </c>
      <c r="I179" s="32" t="s">
        <v>358</v>
      </c>
      <c r="J179" s="32" t="s">
        <v>325</v>
      </c>
      <c r="K179" s="32" t="s">
        <v>368</v>
      </c>
      <c r="L179" s="32" t="s">
        <v>358</v>
      </c>
    </row>
    <row r="180" spans="1:12">
      <c r="A180" s="35" t="s">
        <v>9</v>
      </c>
      <c r="B180" s="39">
        <v>2013</v>
      </c>
      <c r="C180" s="32" t="s">
        <v>399</v>
      </c>
      <c r="D180" s="32">
        <v>2012</v>
      </c>
      <c r="E180" s="32">
        <v>2016</v>
      </c>
      <c r="F180" s="32" t="s">
        <v>321</v>
      </c>
      <c r="G180" s="32" t="s">
        <v>323</v>
      </c>
      <c r="H180" s="38">
        <v>1962</v>
      </c>
      <c r="I180" s="32" t="s">
        <v>389</v>
      </c>
      <c r="J180" s="32" t="s">
        <v>325</v>
      </c>
      <c r="K180" s="32" t="s">
        <v>400</v>
      </c>
      <c r="L180" s="32" t="s">
        <v>324</v>
      </c>
    </row>
    <row r="181" spans="1:12">
      <c r="A181" s="35" t="s">
        <v>9</v>
      </c>
      <c r="B181" s="39">
        <v>2013</v>
      </c>
      <c r="C181" s="32" t="s">
        <v>368</v>
      </c>
      <c r="D181" s="32">
        <v>2013</v>
      </c>
      <c r="E181" s="32">
        <v>2019</v>
      </c>
      <c r="F181" s="32" t="s">
        <v>320</v>
      </c>
      <c r="G181" s="32" t="s">
        <v>323</v>
      </c>
      <c r="H181" s="38">
        <v>1962</v>
      </c>
      <c r="I181" s="32" t="s">
        <v>358</v>
      </c>
      <c r="J181" s="32" t="s">
        <v>325</v>
      </c>
      <c r="K181" s="32" t="s">
        <v>401</v>
      </c>
      <c r="L181" s="32" t="s">
        <v>350</v>
      </c>
    </row>
    <row r="182" spans="1:12">
      <c r="A182" s="35" t="s">
        <v>9</v>
      </c>
      <c r="B182" s="39">
        <v>2014</v>
      </c>
      <c r="C182" s="32" t="s">
        <v>399</v>
      </c>
      <c r="D182" s="32">
        <v>2012</v>
      </c>
      <c r="E182" s="32">
        <v>2016</v>
      </c>
      <c r="F182" s="32" t="s">
        <v>321</v>
      </c>
      <c r="G182" s="32" t="s">
        <v>323</v>
      </c>
      <c r="H182" s="38">
        <v>1962</v>
      </c>
      <c r="I182" s="32" t="s">
        <v>389</v>
      </c>
      <c r="J182" s="32" t="s">
        <v>325</v>
      </c>
      <c r="K182" s="32" t="s">
        <v>400</v>
      </c>
      <c r="L182" s="32" t="s">
        <v>324</v>
      </c>
    </row>
    <row r="183" spans="1:12">
      <c r="A183" s="35" t="s">
        <v>9</v>
      </c>
      <c r="B183" s="39">
        <v>2014</v>
      </c>
      <c r="C183" s="32" t="s">
        <v>368</v>
      </c>
      <c r="D183" s="32">
        <v>2013</v>
      </c>
      <c r="E183" s="32">
        <v>2019</v>
      </c>
      <c r="F183" s="32" t="s">
        <v>320</v>
      </c>
      <c r="G183" s="32" t="s">
        <v>323</v>
      </c>
      <c r="H183" s="38">
        <v>1962</v>
      </c>
      <c r="I183" s="32" t="s">
        <v>358</v>
      </c>
      <c r="J183" s="32" t="s">
        <v>325</v>
      </c>
      <c r="K183" s="32" t="s">
        <v>401</v>
      </c>
      <c r="L183" s="32" t="s">
        <v>350</v>
      </c>
    </row>
    <row r="184" spans="1:12">
      <c r="A184" s="36" t="s">
        <v>9</v>
      </c>
      <c r="B184" s="39">
        <v>2015</v>
      </c>
      <c r="C184" s="32" t="s">
        <v>399</v>
      </c>
      <c r="D184" s="32">
        <v>2012</v>
      </c>
      <c r="E184" s="32">
        <v>2016</v>
      </c>
      <c r="F184" s="32" t="s">
        <v>321</v>
      </c>
      <c r="G184" s="32" t="s">
        <v>323</v>
      </c>
      <c r="H184" s="38">
        <v>1962</v>
      </c>
      <c r="I184" s="32" t="s">
        <v>389</v>
      </c>
      <c r="J184" s="32" t="s">
        <v>325</v>
      </c>
      <c r="K184" s="32" t="s">
        <v>400</v>
      </c>
      <c r="L184" s="32" t="s">
        <v>324</v>
      </c>
    </row>
    <row r="185" spans="1:12">
      <c r="A185" s="36" t="s">
        <v>9</v>
      </c>
      <c r="B185" s="39">
        <v>2015</v>
      </c>
      <c r="C185" s="32" t="s">
        <v>368</v>
      </c>
      <c r="D185" s="32">
        <v>2013</v>
      </c>
      <c r="E185" s="32">
        <v>2019</v>
      </c>
      <c r="F185" s="32" t="s">
        <v>320</v>
      </c>
      <c r="G185" s="32" t="s">
        <v>323</v>
      </c>
      <c r="H185" s="38">
        <v>1962</v>
      </c>
      <c r="I185" s="32" t="s">
        <v>358</v>
      </c>
      <c r="J185" s="32" t="s">
        <v>325</v>
      </c>
      <c r="K185" s="32" t="s">
        <v>401</v>
      </c>
      <c r="L185" s="32" t="s">
        <v>350</v>
      </c>
    </row>
    <row r="186" spans="1:12">
      <c r="A186" s="36" t="s">
        <v>9</v>
      </c>
      <c r="B186" s="39">
        <v>2016</v>
      </c>
      <c r="C186" s="32" t="s">
        <v>400</v>
      </c>
      <c r="D186" s="32">
        <v>2016</v>
      </c>
      <c r="E186" s="32">
        <v>2017</v>
      </c>
      <c r="F186" s="32" t="s">
        <v>321</v>
      </c>
      <c r="G186" s="32" t="s">
        <v>323</v>
      </c>
      <c r="H186" s="38">
        <v>1964</v>
      </c>
      <c r="I186" s="32" t="s">
        <v>324</v>
      </c>
      <c r="J186" s="32" t="s">
        <v>340</v>
      </c>
      <c r="K186" s="32" t="s">
        <v>401</v>
      </c>
      <c r="L186" s="32" t="s">
        <v>350</v>
      </c>
    </row>
    <row r="187" spans="1:12">
      <c r="A187" s="36" t="s">
        <v>9</v>
      </c>
      <c r="B187" s="39">
        <v>2016</v>
      </c>
      <c r="C187" s="32" t="s">
        <v>368</v>
      </c>
      <c r="D187" s="32">
        <v>2013</v>
      </c>
      <c r="E187" s="32">
        <v>2019</v>
      </c>
      <c r="F187" s="32" t="s">
        <v>320</v>
      </c>
      <c r="G187" s="32" t="s">
        <v>323</v>
      </c>
      <c r="H187" s="38">
        <v>1962</v>
      </c>
      <c r="I187" s="32" t="s">
        <v>358</v>
      </c>
      <c r="J187" s="32" t="s">
        <v>325</v>
      </c>
      <c r="K187" s="32" t="s">
        <v>401</v>
      </c>
      <c r="L187" s="32" t="s">
        <v>350</v>
      </c>
    </row>
    <row r="188" spans="1:12">
      <c r="A188" s="36" t="s">
        <v>9</v>
      </c>
      <c r="B188" s="39">
        <v>2017</v>
      </c>
      <c r="C188" s="32" t="s">
        <v>401</v>
      </c>
      <c r="D188" s="32">
        <v>2017</v>
      </c>
      <c r="E188" s="32">
        <v>2019</v>
      </c>
      <c r="F188" s="32" t="s">
        <v>321</v>
      </c>
      <c r="G188" s="32" t="s">
        <v>335</v>
      </c>
      <c r="H188" s="38">
        <v>1971</v>
      </c>
      <c r="I188" s="32" t="s">
        <v>350</v>
      </c>
      <c r="J188" s="32" t="s">
        <v>325</v>
      </c>
      <c r="K188" s="32" t="s">
        <v>402</v>
      </c>
      <c r="L188" s="32" t="s">
        <v>403</v>
      </c>
    </row>
    <row r="189" spans="1:12">
      <c r="A189" s="36" t="s">
        <v>9</v>
      </c>
      <c r="B189" s="39">
        <v>2017</v>
      </c>
      <c r="C189" s="32" t="s">
        <v>368</v>
      </c>
      <c r="D189" s="32">
        <v>2013</v>
      </c>
      <c r="E189" s="32">
        <v>2019</v>
      </c>
      <c r="F189" s="32" t="s">
        <v>320</v>
      </c>
      <c r="G189" s="32" t="s">
        <v>323</v>
      </c>
      <c r="H189" s="38">
        <v>1962</v>
      </c>
      <c r="I189" s="32" t="s">
        <v>358</v>
      </c>
      <c r="J189" s="32" t="s">
        <v>325</v>
      </c>
      <c r="K189" s="32" t="s">
        <v>401</v>
      </c>
      <c r="L189" s="32" t="s">
        <v>350</v>
      </c>
    </row>
    <row r="190" spans="1:12">
      <c r="A190" s="36" t="s">
        <v>9</v>
      </c>
      <c r="B190" s="39">
        <v>2018</v>
      </c>
      <c r="C190" s="32" t="s">
        <v>401</v>
      </c>
      <c r="D190" s="32">
        <v>2017</v>
      </c>
      <c r="E190" s="32">
        <v>2019</v>
      </c>
      <c r="F190" s="32" t="s">
        <v>321</v>
      </c>
      <c r="G190" s="32" t="s">
        <v>335</v>
      </c>
      <c r="H190" s="38">
        <v>1971</v>
      </c>
      <c r="I190" s="32" t="s">
        <v>350</v>
      </c>
      <c r="J190" s="32" t="s">
        <v>325</v>
      </c>
      <c r="K190" s="32" t="s">
        <v>402</v>
      </c>
      <c r="L190" s="32" t="s">
        <v>403</v>
      </c>
    </row>
    <row r="191" spans="1:12">
      <c r="A191" s="36" t="s">
        <v>9</v>
      </c>
      <c r="B191" s="39">
        <v>2018</v>
      </c>
      <c r="C191" s="32" t="s">
        <v>368</v>
      </c>
      <c r="D191" s="32">
        <v>2013</v>
      </c>
      <c r="E191" s="32">
        <v>2019</v>
      </c>
      <c r="F191" s="32" t="s">
        <v>320</v>
      </c>
      <c r="G191" s="32" t="s">
        <v>323</v>
      </c>
      <c r="H191" s="38">
        <v>1962</v>
      </c>
      <c r="I191" s="32" t="s">
        <v>358</v>
      </c>
      <c r="J191" s="32" t="s">
        <v>325</v>
      </c>
      <c r="K191" s="32" t="s">
        <v>401</v>
      </c>
      <c r="L191" s="32" t="s">
        <v>350</v>
      </c>
    </row>
    <row r="192" spans="1:12">
      <c r="A192" s="36" t="s">
        <v>9</v>
      </c>
      <c r="B192" s="39">
        <v>2019</v>
      </c>
      <c r="C192" s="33" t="s">
        <v>402</v>
      </c>
      <c r="D192" s="32">
        <v>2019</v>
      </c>
      <c r="E192" s="32">
        <v>2021</v>
      </c>
      <c r="F192" s="32" t="s">
        <v>321</v>
      </c>
      <c r="G192" s="32" t="s">
        <v>323</v>
      </c>
      <c r="H192" s="38">
        <v>1974</v>
      </c>
      <c r="I192" s="32" t="s">
        <v>403</v>
      </c>
      <c r="J192" s="32" t="s">
        <v>340</v>
      </c>
      <c r="K192" s="32" t="s">
        <v>404</v>
      </c>
      <c r="L192" s="32" t="s">
        <v>405</v>
      </c>
    </row>
    <row r="193" spans="1:12">
      <c r="A193" s="36" t="s">
        <v>9</v>
      </c>
      <c r="B193" s="39">
        <v>2019</v>
      </c>
      <c r="C193" s="32" t="s">
        <v>401</v>
      </c>
      <c r="D193" s="32">
        <v>2019</v>
      </c>
      <c r="E193" s="32">
        <v>2021</v>
      </c>
      <c r="F193" s="32" t="s">
        <v>320</v>
      </c>
      <c r="G193" s="32" t="s">
        <v>335</v>
      </c>
      <c r="H193" s="38">
        <v>1971</v>
      </c>
      <c r="I193" s="32" t="s">
        <v>350</v>
      </c>
      <c r="J193" s="32" t="s">
        <v>325</v>
      </c>
      <c r="K193" s="32" t="s">
        <v>402</v>
      </c>
      <c r="L193" s="32" t="s">
        <v>408</v>
      </c>
    </row>
    <row r="194" spans="1:12">
      <c r="A194" s="36" t="s">
        <v>9</v>
      </c>
      <c r="B194" s="39">
        <v>2020</v>
      </c>
      <c r="C194" s="33" t="s">
        <v>402</v>
      </c>
      <c r="D194" s="32">
        <v>2019</v>
      </c>
      <c r="E194" s="32">
        <v>2021</v>
      </c>
      <c r="F194" s="32" t="s">
        <v>321</v>
      </c>
      <c r="G194" s="32" t="s">
        <v>323</v>
      </c>
      <c r="H194" s="38">
        <v>1974</v>
      </c>
      <c r="I194" s="32" t="s">
        <v>403</v>
      </c>
      <c r="J194" s="32" t="s">
        <v>340</v>
      </c>
      <c r="K194" s="32" t="s">
        <v>404</v>
      </c>
      <c r="L194" s="32" t="s">
        <v>405</v>
      </c>
    </row>
    <row r="195" spans="1:12">
      <c r="A195" s="36" t="s">
        <v>9</v>
      </c>
      <c r="B195" s="39">
        <v>2020</v>
      </c>
      <c r="C195" s="32" t="s">
        <v>401</v>
      </c>
      <c r="D195" s="32">
        <v>2019</v>
      </c>
      <c r="E195" s="32">
        <v>2021</v>
      </c>
      <c r="F195" s="32" t="s">
        <v>320</v>
      </c>
      <c r="G195" s="32" t="s">
        <v>335</v>
      </c>
      <c r="H195" s="38">
        <v>1971</v>
      </c>
      <c r="I195" s="32" t="s">
        <v>350</v>
      </c>
      <c r="J195" s="32" t="s">
        <v>325</v>
      </c>
      <c r="K195" s="32" t="s">
        <v>402</v>
      </c>
      <c r="L195" s="32" t="s">
        <v>408</v>
      </c>
    </row>
    <row r="196" spans="1:12">
      <c r="A196" s="36" t="s">
        <v>9</v>
      </c>
      <c r="B196" s="39">
        <v>2021</v>
      </c>
      <c r="C196" s="33" t="s">
        <v>402</v>
      </c>
      <c r="D196" s="32">
        <v>2019</v>
      </c>
      <c r="E196" s="32">
        <v>2021</v>
      </c>
      <c r="F196" s="32" t="s">
        <v>321</v>
      </c>
      <c r="G196" s="32" t="s">
        <v>323</v>
      </c>
      <c r="H196" s="38">
        <v>1974</v>
      </c>
      <c r="I196" s="32" t="s">
        <v>403</v>
      </c>
      <c r="J196" s="32" t="s">
        <v>340</v>
      </c>
      <c r="K196" s="32" t="s">
        <v>404</v>
      </c>
      <c r="L196" s="32" t="s">
        <v>405</v>
      </c>
    </row>
    <row r="197" spans="1:12">
      <c r="A197" s="36" t="s">
        <v>9</v>
      </c>
      <c r="B197" s="39">
        <v>2021</v>
      </c>
      <c r="C197" s="32" t="s">
        <v>401</v>
      </c>
      <c r="D197" s="32">
        <v>2019</v>
      </c>
      <c r="E197" s="32">
        <v>2021</v>
      </c>
      <c r="F197" s="32" t="s">
        <v>320</v>
      </c>
      <c r="G197" s="32" t="s">
        <v>335</v>
      </c>
      <c r="H197" s="38">
        <v>1971</v>
      </c>
      <c r="I197" s="32" t="s">
        <v>350</v>
      </c>
      <c r="J197" s="32" t="s">
        <v>325</v>
      </c>
      <c r="K197" s="32" t="s">
        <v>402</v>
      </c>
      <c r="L197" s="32" t="s">
        <v>408</v>
      </c>
    </row>
    <row r="198" spans="1:12">
      <c r="A198" s="36" t="s">
        <v>9</v>
      </c>
      <c r="B198" s="39">
        <v>2022</v>
      </c>
      <c r="C198" s="35"/>
      <c r="D198" s="35"/>
      <c r="E198" s="35"/>
      <c r="F198" s="35" t="s">
        <v>321</v>
      </c>
      <c r="G198" s="35"/>
      <c r="H198" s="39"/>
      <c r="I198" s="35"/>
      <c r="J198" s="35"/>
      <c r="K198" s="35"/>
      <c r="L198" s="35"/>
    </row>
    <row r="199" spans="1:12">
      <c r="A199" s="36" t="s">
        <v>9</v>
      </c>
      <c r="B199" s="39">
        <v>2022</v>
      </c>
      <c r="C199" s="35"/>
      <c r="D199" s="35"/>
      <c r="E199" s="35"/>
      <c r="F199" s="35" t="s">
        <v>320</v>
      </c>
      <c r="G199" s="35"/>
      <c r="H199" s="39"/>
      <c r="I199" s="35"/>
      <c r="J199" s="35"/>
      <c r="K199" s="35"/>
      <c r="L199" s="35"/>
    </row>
    <row r="200" spans="1:12">
      <c r="A200" s="35" t="s">
        <v>10</v>
      </c>
      <c r="B200" s="39">
        <v>2012</v>
      </c>
      <c r="C200" s="32" t="s">
        <v>357</v>
      </c>
      <c r="D200" s="32">
        <v>2011</v>
      </c>
      <c r="E200" s="32">
        <v>2014</v>
      </c>
      <c r="F200" s="32" t="s">
        <v>321</v>
      </c>
      <c r="G200" s="32" t="s">
        <v>323</v>
      </c>
      <c r="H200" s="38">
        <v>1964</v>
      </c>
      <c r="I200" s="32" t="s">
        <v>358</v>
      </c>
      <c r="J200" s="32" t="s">
        <v>325</v>
      </c>
      <c r="K200" s="32" t="s">
        <v>410</v>
      </c>
      <c r="L200" s="32" t="s">
        <v>379</v>
      </c>
    </row>
    <row r="201" spans="1:12">
      <c r="A201" s="35" t="s">
        <v>10</v>
      </c>
      <c r="B201" s="39">
        <v>2012</v>
      </c>
      <c r="C201" s="32" t="s">
        <v>409</v>
      </c>
      <c r="D201" s="32">
        <v>2006</v>
      </c>
      <c r="E201" s="32">
        <v>2013</v>
      </c>
      <c r="F201" s="32" t="s">
        <v>320</v>
      </c>
      <c r="G201" s="32" t="s">
        <v>323</v>
      </c>
      <c r="H201" s="38">
        <v>1955</v>
      </c>
      <c r="I201" s="32" t="s">
        <v>367</v>
      </c>
      <c r="J201" s="32" t="s">
        <v>325</v>
      </c>
      <c r="K201" s="32" t="s">
        <v>392</v>
      </c>
      <c r="L201" s="32" t="s">
        <v>367</v>
      </c>
    </row>
    <row r="202" spans="1:12">
      <c r="A202" s="35" t="s">
        <v>10</v>
      </c>
      <c r="B202" s="39">
        <v>2013</v>
      </c>
      <c r="C202" s="32" t="s">
        <v>357</v>
      </c>
      <c r="D202" s="32">
        <v>2011</v>
      </c>
      <c r="E202" s="32">
        <v>2014</v>
      </c>
      <c r="F202" s="32" t="s">
        <v>321</v>
      </c>
      <c r="G202" s="32" t="s">
        <v>323</v>
      </c>
      <c r="H202" s="38">
        <v>1964</v>
      </c>
      <c r="I202" s="32" t="s">
        <v>358</v>
      </c>
      <c r="J202" s="32" t="s">
        <v>325</v>
      </c>
      <c r="K202" s="32" t="s">
        <v>410</v>
      </c>
      <c r="L202" s="32" t="s">
        <v>379</v>
      </c>
    </row>
    <row r="203" spans="1:12">
      <c r="A203" s="35" t="s">
        <v>10</v>
      </c>
      <c r="B203" s="39">
        <v>2013</v>
      </c>
      <c r="C203" s="32" t="s">
        <v>392</v>
      </c>
      <c r="D203" s="32">
        <v>2013</v>
      </c>
      <c r="E203" s="32">
        <v>2016</v>
      </c>
      <c r="F203" s="32" t="s">
        <v>320</v>
      </c>
      <c r="G203" s="32" t="s">
        <v>323</v>
      </c>
      <c r="H203" s="38">
        <v>1957</v>
      </c>
      <c r="I203" s="32" t="s">
        <v>367</v>
      </c>
      <c r="J203" s="32" t="s">
        <v>325</v>
      </c>
      <c r="K203" s="32" t="s">
        <v>410</v>
      </c>
      <c r="L203" s="32" t="s">
        <v>379</v>
      </c>
    </row>
    <row r="204" spans="1:12">
      <c r="A204" s="35" t="s">
        <v>10</v>
      </c>
      <c r="B204" s="39">
        <v>2014</v>
      </c>
      <c r="C204" s="32" t="s">
        <v>410</v>
      </c>
      <c r="D204" s="32">
        <v>2014</v>
      </c>
      <c r="E204" s="32">
        <v>2016</v>
      </c>
      <c r="F204" s="32" t="s">
        <v>321</v>
      </c>
      <c r="G204" s="32" t="s">
        <v>323</v>
      </c>
      <c r="H204" s="38">
        <v>1960</v>
      </c>
      <c r="I204" s="32" t="s">
        <v>379</v>
      </c>
      <c r="J204" s="32" t="s">
        <v>325</v>
      </c>
      <c r="K204" s="32" t="s">
        <v>411</v>
      </c>
      <c r="L204" s="32" t="s">
        <v>412</v>
      </c>
    </row>
    <row r="205" spans="1:12">
      <c r="A205" s="35" t="s">
        <v>10</v>
      </c>
      <c r="B205" s="39">
        <v>2014</v>
      </c>
      <c r="C205" s="32" t="s">
        <v>392</v>
      </c>
      <c r="D205" s="32">
        <v>2013</v>
      </c>
      <c r="E205" s="32">
        <v>2016</v>
      </c>
      <c r="F205" s="32" t="s">
        <v>320</v>
      </c>
      <c r="G205" s="32" t="s">
        <v>323</v>
      </c>
      <c r="H205" s="38">
        <v>1957</v>
      </c>
      <c r="I205" s="32" t="s">
        <v>367</v>
      </c>
      <c r="J205" s="32" t="s">
        <v>325</v>
      </c>
      <c r="K205" s="32" t="s">
        <v>410</v>
      </c>
      <c r="L205" s="32" t="s">
        <v>379</v>
      </c>
    </row>
    <row r="206" spans="1:12">
      <c r="A206" s="36" t="s">
        <v>10</v>
      </c>
      <c r="B206" s="39">
        <v>2015</v>
      </c>
      <c r="C206" s="32" t="s">
        <v>410</v>
      </c>
      <c r="D206" s="32">
        <v>2014</v>
      </c>
      <c r="E206" s="32">
        <v>2016</v>
      </c>
      <c r="F206" s="32" t="s">
        <v>321</v>
      </c>
      <c r="G206" s="32" t="s">
        <v>323</v>
      </c>
      <c r="H206" s="38">
        <v>1960</v>
      </c>
      <c r="I206" s="32" t="s">
        <v>379</v>
      </c>
      <c r="J206" s="32" t="s">
        <v>325</v>
      </c>
      <c r="K206" s="32" t="s">
        <v>411</v>
      </c>
      <c r="L206" s="32" t="s">
        <v>412</v>
      </c>
    </row>
    <row r="207" spans="1:12">
      <c r="A207" s="36" t="s">
        <v>10</v>
      </c>
      <c r="B207" s="39">
        <v>2015</v>
      </c>
      <c r="C207" s="32" t="s">
        <v>392</v>
      </c>
      <c r="D207" s="32">
        <v>2013</v>
      </c>
      <c r="E207" s="32">
        <v>2016</v>
      </c>
      <c r="F207" s="32" t="s">
        <v>320</v>
      </c>
      <c r="G207" s="32" t="s">
        <v>323</v>
      </c>
      <c r="H207" s="38">
        <v>1957</v>
      </c>
      <c r="I207" s="32" t="s">
        <v>367</v>
      </c>
      <c r="J207" s="32" t="s">
        <v>325</v>
      </c>
      <c r="K207" s="32" t="s">
        <v>410</v>
      </c>
      <c r="L207" s="32" t="s">
        <v>379</v>
      </c>
    </row>
    <row r="208" spans="1:12">
      <c r="A208" s="36" t="s">
        <v>10</v>
      </c>
      <c r="B208" s="39">
        <v>2016</v>
      </c>
      <c r="C208" s="32" t="s">
        <v>411</v>
      </c>
      <c r="D208" s="32">
        <v>2016</v>
      </c>
      <c r="E208" s="32">
        <v>2018</v>
      </c>
      <c r="F208" s="32" t="s">
        <v>321</v>
      </c>
      <c r="G208" s="32" t="s">
        <v>323</v>
      </c>
      <c r="H208" s="38">
        <v>1962</v>
      </c>
      <c r="I208" s="32" t="s">
        <v>412</v>
      </c>
      <c r="J208" s="32" t="s">
        <v>340</v>
      </c>
      <c r="K208" s="32" t="s">
        <v>413</v>
      </c>
      <c r="L208" s="32" t="s">
        <v>412</v>
      </c>
    </row>
    <row r="209" spans="1:12">
      <c r="A209" s="36" t="s">
        <v>10</v>
      </c>
      <c r="B209" s="39">
        <v>2016</v>
      </c>
      <c r="C209" s="32" t="s">
        <v>410</v>
      </c>
      <c r="D209" s="32">
        <v>2016</v>
      </c>
      <c r="E209" s="32">
        <v>2018</v>
      </c>
      <c r="F209" s="32" t="s">
        <v>320</v>
      </c>
      <c r="G209" s="32" t="s">
        <v>323</v>
      </c>
      <c r="H209" s="38">
        <v>1960</v>
      </c>
      <c r="I209" s="32" t="s">
        <v>379</v>
      </c>
      <c r="J209" s="32" t="s">
        <v>325</v>
      </c>
      <c r="K209" s="32" t="s">
        <v>411</v>
      </c>
      <c r="L209" s="32" t="s">
        <v>412</v>
      </c>
    </row>
    <row r="210" spans="1:12">
      <c r="A210" s="36" t="s">
        <v>10</v>
      </c>
      <c r="B210" s="39">
        <v>2017</v>
      </c>
      <c r="C210" s="32" t="s">
        <v>411</v>
      </c>
      <c r="D210" s="32">
        <v>2016</v>
      </c>
      <c r="E210" s="32">
        <v>2018</v>
      </c>
      <c r="F210" s="32" t="s">
        <v>321</v>
      </c>
      <c r="G210" s="32" t="s">
        <v>323</v>
      </c>
      <c r="H210" s="38">
        <v>1962</v>
      </c>
      <c r="I210" s="32" t="s">
        <v>412</v>
      </c>
      <c r="J210" s="32" t="s">
        <v>340</v>
      </c>
      <c r="K210" s="32" t="s">
        <v>413</v>
      </c>
      <c r="L210" s="32" t="s">
        <v>412</v>
      </c>
    </row>
    <row r="211" spans="1:12">
      <c r="A211" s="36" t="s">
        <v>10</v>
      </c>
      <c r="B211" s="39">
        <v>2017</v>
      </c>
      <c r="C211" s="32" t="s">
        <v>410</v>
      </c>
      <c r="D211" s="32">
        <v>2016</v>
      </c>
      <c r="E211" s="32">
        <v>2018</v>
      </c>
      <c r="F211" s="32" t="s">
        <v>320</v>
      </c>
      <c r="G211" s="32" t="s">
        <v>323</v>
      </c>
      <c r="H211" s="38">
        <v>1960</v>
      </c>
      <c r="I211" s="32" t="s">
        <v>379</v>
      </c>
      <c r="J211" s="32" t="s">
        <v>325</v>
      </c>
      <c r="K211" s="32" t="s">
        <v>411</v>
      </c>
      <c r="L211" s="32" t="s">
        <v>412</v>
      </c>
    </row>
    <row r="212" spans="1:12">
      <c r="A212" s="36" t="s">
        <v>10</v>
      </c>
      <c r="B212" s="39">
        <v>2018</v>
      </c>
      <c r="C212" s="32" t="s">
        <v>413</v>
      </c>
      <c r="D212" s="32">
        <v>2018</v>
      </c>
      <c r="E212" s="32">
        <v>2021</v>
      </c>
      <c r="F212" s="32" t="s">
        <v>321</v>
      </c>
      <c r="G212" s="32" t="s">
        <v>323</v>
      </c>
      <c r="H212" s="38">
        <v>1971</v>
      </c>
      <c r="I212" s="32" t="s">
        <v>412</v>
      </c>
      <c r="J212" s="32" t="s">
        <v>325</v>
      </c>
      <c r="K212" s="32" t="s">
        <v>421</v>
      </c>
      <c r="L212" s="32" t="s">
        <v>422</v>
      </c>
    </row>
    <row r="213" spans="1:12">
      <c r="A213" s="36" t="s">
        <v>10</v>
      </c>
      <c r="B213" s="39">
        <v>2018</v>
      </c>
      <c r="C213" s="32" t="s">
        <v>411</v>
      </c>
      <c r="D213" s="32">
        <v>2018</v>
      </c>
      <c r="E213" s="32">
        <v>2021</v>
      </c>
      <c r="F213" s="32" t="s">
        <v>320</v>
      </c>
      <c r="G213" s="32" t="s">
        <v>323</v>
      </c>
      <c r="H213" s="38">
        <v>1962</v>
      </c>
      <c r="I213" s="32" t="s">
        <v>412</v>
      </c>
      <c r="J213" s="32" t="s">
        <v>340</v>
      </c>
      <c r="K213" s="32" t="s">
        <v>413</v>
      </c>
      <c r="L213" s="32" t="s">
        <v>414</v>
      </c>
    </row>
    <row r="214" spans="1:12">
      <c r="A214" s="36" t="s">
        <v>10</v>
      </c>
      <c r="B214" s="39">
        <v>2019</v>
      </c>
      <c r="C214" s="32" t="s">
        <v>413</v>
      </c>
      <c r="D214" s="32">
        <v>2018</v>
      </c>
      <c r="E214" s="32">
        <v>2021</v>
      </c>
      <c r="F214" s="32" t="s">
        <v>321</v>
      </c>
      <c r="G214" s="32" t="s">
        <v>323</v>
      </c>
      <c r="H214" s="38">
        <v>1971</v>
      </c>
      <c r="I214" s="32" t="s">
        <v>412</v>
      </c>
      <c r="J214" s="32" t="s">
        <v>325</v>
      </c>
      <c r="K214" s="32" t="s">
        <v>421</v>
      </c>
      <c r="L214" s="32" t="s">
        <v>422</v>
      </c>
    </row>
    <row r="215" spans="1:12">
      <c r="A215" s="36" t="s">
        <v>10</v>
      </c>
      <c r="B215" s="39">
        <v>2019</v>
      </c>
      <c r="C215" s="32" t="s">
        <v>411</v>
      </c>
      <c r="D215" s="32">
        <v>2018</v>
      </c>
      <c r="E215" s="32">
        <v>2021</v>
      </c>
      <c r="F215" s="32" t="s">
        <v>320</v>
      </c>
      <c r="G215" s="32" t="s">
        <v>323</v>
      </c>
      <c r="H215" s="38">
        <v>1962</v>
      </c>
      <c r="I215" s="32" t="s">
        <v>412</v>
      </c>
      <c r="J215" s="32" t="s">
        <v>340</v>
      </c>
      <c r="K215" s="32" t="s">
        <v>413</v>
      </c>
      <c r="L215" s="32" t="s">
        <v>414</v>
      </c>
    </row>
    <row r="216" spans="1:12">
      <c r="A216" s="36" t="s">
        <v>10</v>
      </c>
      <c r="B216" s="39">
        <v>2020</v>
      </c>
      <c r="C216" s="32" t="s">
        <v>413</v>
      </c>
      <c r="D216" s="32">
        <v>2018</v>
      </c>
      <c r="E216" s="32">
        <v>2021</v>
      </c>
      <c r="F216" s="32" t="s">
        <v>321</v>
      </c>
      <c r="G216" s="32" t="s">
        <v>323</v>
      </c>
      <c r="H216" s="38">
        <v>1971</v>
      </c>
      <c r="I216" s="32" t="s">
        <v>412</v>
      </c>
      <c r="J216" s="32" t="s">
        <v>325</v>
      </c>
      <c r="K216" s="32" t="s">
        <v>421</v>
      </c>
      <c r="L216" s="32" t="s">
        <v>422</v>
      </c>
    </row>
    <row r="217" spans="1:12">
      <c r="A217" s="36" t="s">
        <v>10</v>
      </c>
      <c r="B217" s="39">
        <v>2020</v>
      </c>
      <c r="C217" s="32" t="s">
        <v>411</v>
      </c>
      <c r="D217" s="32">
        <v>2018</v>
      </c>
      <c r="E217" s="32">
        <v>2021</v>
      </c>
      <c r="F217" s="32" t="s">
        <v>320</v>
      </c>
      <c r="G217" s="32" t="s">
        <v>323</v>
      </c>
      <c r="H217" s="38">
        <v>1962</v>
      </c>
      <c r="I217" s="32" t="s">
        <v>412</v>
      </c>
      <c r="J217" s="32" t="s">
        <v>340</v>
      </c>
      <c r="K217" s="32" t="s">
        <v>413</v>
      </c>
      <c r="L217" s="32" t="s">
        <v>414</v>
      </c>
    </row>
    <row r="218" spans="1:12">
      <c r="A218" s="36" t="s">
        <v>10</v>
      </c>
      <c r="B218" s="39">
        <v>2021</v>
      </c>
      <c r="C218" s="32" t="s">
        <v>413</v>
      </c>
      <c r="D218" s="32">
        <v>2018</v>
      </c>
      <c r="E218" s="32">
        <v>2021</v>
      </c>
      <c r="F218" s="32" t="s">
        <v>321</v>
      </c>
      <c r="G218" s="32" t="s">
        <v>323</v>
      </c>
      <c r="H218" s="38">
        <v>1971</v>
      </c>
      <c r="I218" s="32" t="s">
        <v>412</v>
      </c>
      <c r="J218" s="32" t="s">
        <v>325</v>
      </c>
      <c r="K218" s="32" t="s">
        <v>421</v>
      </c>
      <c r="L218" s="32" t="s">
        <v>422</v>
      </c>
    </row>
    <row r="219" spans="1:12">
      <c r="A219" s="36" t="s">
        <v>10</v>
      </c>
      <c r="B219" s="39">
        <v>2021</v>
      </c>
      <c r="C219" s="32" t="s">
        <v>411</v>
      </c>
      <c r="D219" s="32">
        <v>2018</v>
      </c>
      <c r="E219" s="32">
        <v>2021</v>
      </c>
      <c r="F219" s="32" t="s">
        <v>320</v>
      </c>
      <c r="G219" s="32" t="s">
        <v>323</v>
      </c>
      <c r="H219" s="38">
        <v>1962</v>
      </c>
      <c r="I219" s="32" t="s">
        <v>412</v>
      </c>
      <c r="J219" s="32" t="s">
        <v>340</v>
      </c>
      <c r="K219" s="32" t="s">
        <v>413</v>
      </c>
      <c r="L219" s="32" t="s">
        <v>414</v>
      </c>
    </row>
    <row r="220" spans="1:12">
      <c r="A220" s="36" t="s">
        <v>10</v>
      </c>
      <c r="B220" s="39">
        <v>2022</v>
      </c>
      <c r="C220" s="35"/>
      <c r="D220" s="35"/>
      <c r="E220" s="35"/>
      <c r="F220" s="35" t="s">
        <v>321</v>
      </c>
      <c r="G220" s="35"/>
      <c r="H220" s="39"/>
      <c r="I220" s="35"/>
      <c r="J220" s="35"/>
      <c r="K220" s="35"/>
      <c r="L220" s="35"/>
    </row>
    <row r="221" spans="1:12">
      <c r="A221" s="36" t="s">
        <v>10</v>
      </c>
      <c r="B221" s="39">
        <v>2022</v>
      </c>
      <c r="C221" s="35"/>
      <c r="D221" s="35"/>
      <c r="E221" s="35"/>
      <c r="F221" s="35" t="s">
        <v>320</v>
      </c>
      <c r="G221" s="35"/>
      <c r="H221" s="39"/>
      <c r="I221" s="35"/>
      <c r="J221" s="35"/>
      <c r="K221" s="35"/>
      <c r="L221" s="35"/>
    </row>
    <row r="222" spans="1:12">
      <c r="A222" s="35" t="s">
        <v>11</v>
      </c>
      <c r="B222" s="39">
        <v>2012</v>
      </c>
      <c r="C222" s="32" t="s">
        <v>418</v>
      </c>
      <c r="D222" s="32">
        <v>2012</v>
      </c>
      <c r="E222" s="32">
        <v>2016</v>
      </c>
      <c r="F222" s="32" t="s">
        <v>321</v>
      </c>
      <c r="G222" s="32" t="s">
        <v>323</v>
      </c>
      <c r="H222" s="38">
        <v>1961</v>
      </c>
      <c r="I222" s="32" t="s">
        <v>350</v>
      </c>
      <c r="J222" s="32" t="s">
        <v>325</v>
      </c>
      <c r="K222" s="32" t="s">
        <v>399</v>
      </c>
      <c r="L222" s="32" t="s">
        <v>389</v>
      </c>
    </row>
    <row r="223" spans="1:12">
      <c r="A223" s="35" t="s">
        <v>11</v>
      </c>
      <c r="B223" s="39">
        <v>2012</v>
      </c>
      <c r="C223" s="32" t="s">
        <v>415</v>
      </c>
      <c r="D223" s="32">
        <v>2009</v>
      </c>
      <c r="E223" s="32">
        <v>2014</v>
      </c>
      <c r="F223" s="32" t="s">
        <v>320</v>
      </c>
      <c r="G223" s="32" t="s">
        <v>323</v>
      </c>
      <c r="H223" s="38">
        <v>1954</v>
      </c>
      <c r="I223" s="32" t="s">
        <v>324</v>
      </c>
      <c r="J223" s="32" t="s">
        <v>325</v>
      </c>
      <c r="K223" s="32" t="s">
        <v>416</v>
      </c>
      <c r="L223" s="32" t="s">
        <v>417</v>
      </c>
    </row>
    <row r="224" spans="1:12">
      <c r="A224" s="35" t="s">
        <v>11</v>
      </c>
      <c r="B224" s="39">
        <v>2013</v>
      </c>
      <c r="C224" s="32" t="s">
        <v>418</v>
      </c>
      <c r="D224" s="32">
        <v>2012</v>
      </c>
      <c r="E224" s="32">
        <v>2016</v>
      </c>
      <c r="F224" s="32" t="s">
        <v>321</v>
      </c>
      <c r="G224" s="32" t="s">
        <v>323</v>
      </c>
      <c r="H224" s="38">
        <v>1961</v>
      </c>
      <c r="I224" s="32" t="s">
        <v>350</v>
      </c>
      <c r="J224" s="32" t="s">
        <v>325</v>
      </c>
      <c r="K224" s="32" t="s">
        <v>399</v>
      </c>
      <c r="L224" s="32" t="s">
        <v>389</v>
      </c>
    </row>
    <row r="225" spans="1:12">
      <c r="A225" s="35" t="s">
        <v>11</v>
      </c>
      <c r="B225" s="39">
        <v>2013</v>
      </c>
      <c r="C225" s="32" t="s">
        <v>415</v>
      </c>
      <c r="D225" s="32">
        <v>2009</v>
      </c>
      <c r="E225" s="32">
        <v>2014</v>
      </c>
      <c r="F225" s="32" t="s">
        <v>320</v>
      </c>
      <c r="G225" s="32" t="s">
        <v>323</v>
      </c>
      <c r="H225" s="38">
        <v>1954</v>
      </c>
      <c r="I225" s="32" t="s">
        <v>324</v>
      </c>
      <c r="J225" s="32" t="s">
        <v>325</v>
      </c>
      <c r="K225" s="32" t="s">
        <v>416</v>
      </c>
      <c r="L225" s="32" t="s">
        <v>417</v>
      </c>
    </row>
    <row r="226" spans="1:12">
      <c r="A226" s="35" t="s">
        <v>11</v>
      </c>
      <c r="B226" s="39">
        <v>2014</v>
      </c>
      <c r="C226" s="32" t="s">
        <v>418</v>
      </c>
      <c r="D226" s="32">
        <v>2012</v>
      </c>
      <c r="E226" s="32">
        <v>2016</v>
      </c>
      <c r="F226" s="32" t="s">
        <v>321</v>
      </c>
      <c r="G226" s="32" t="s">
        <v>323</v>
      </c>
      <c r="H226" s="38">
        <v>1961</v>
      </c>
      <c r="I226" s="32" t="s">
        <v>350</v>
      </c>
      <c r="J226" s="32" t="s">
        <v>325</v>
      </c>
      <c r="K226" s="32" t="s">
        <v>399</v>
      </c>
      <c r="L226" s="32" t="s">
        <v>389</v>
      </c>
    </row>
    <row r="227" spans="1:12">
      <c r="A227" s="35" t="s">
        <v>11</v>
      </c>
      <c r="B227" s="39">
        <v>2014</v>
      </c>
      <c r="C227" s="32" t="s">
        <v>416</v>
      </c>
      <c r="D227" s="32">
        <v>2014</v>
      </c>
      <c r="E227" s="32">
        <v>2015</v>
      </c>
      <c r="F227" s="32" t="s">
        <v>320</v>
      </c>
      <c r="G227" s="32" t="s">
        <v>323</v>
      </c>
      <c r="H227" s="38">
        <v>1956</v>
      </c>
      <c r="I227" s="32" t="s">
        <v>417</v>
      </c>
      <c r="J227" s="32" t="s">
        <v>325</v>
      </c>
      <c r="K227" s="32" t="s">
        <v>418</v>
      </c>
      <c r="L227" s="32" t="s">
        <v>350</v>
      </c>
    </row>
    <row r="228" spans="1:12">
      <c r="A228" s="36" t="s">
        <v>11</v>
      </c>
      <c r="B228" s="39">
        <v>2015</v>
      </c>
      <c r="C228" s="32" t="s">
        <v>418</v>
      </c>
      <c r="D228" s="32">
        <v>2012</v>
      </c>
      <c r="E228" s="32">
        <v>2016</v>
      </c>
      <c r="F228" s="32" t="s">
        <v>321</v>
      </c>
      <c r="G228" s="32" t="s">
        <v>323</v>
      </c>
      <c r="H228" s="38">
        <v>1961</v>
      </c>
      <c r="I228" s="32" t="s">
        <v>350</v>
      </c>
      <c r="J228" s="32" t="s">
        <v>325</v>
      </c>
      <c r="K228" s="32" t="s">
        <v>399</v>
      </c>
      <c r="L228" s="32" t="s">
        <v>389</v>
      </c>
    </row>
    <row r="229" spans="1:12">
      <c r="A229" s="36" t="s">
        <v>11</v>
      </c>
      <c r="B229" s="39">
        <v>2015</v>
      </c>
      <c r="C229" s="32" t="s">
        <v>416</v>
      </c>
      <c r="D229" s="32">
        <v>2014</v>
      </c>
      <c r="E229" s="32">
        <v>2015</v>
      </c>
      <c r="F229" s="32" t="s">
        <v>320</v>
      </c>
      <c r="G229" s="32" t="s">
        <v>323</v>
      </c>
      <c r="H229" s="38">
        <v>1956</v>
      </c>
      <c r="I229" s="32" t="s">
        <v>417</v>
      </c>
      <c r="J229" s="32" t="s">
        <v>325</v>
      </c>
      <c r="K229" s="32" t="s">
        <v>418</v>
      </c>
      <c r="L229" s="32" t="s">
        <v>350</v>
      </c>
    </row>
    <row r="230" spans="1:12">
      <c r="A230" s="36" t="s">
        <v>11</v>
      </c>
      <c r="B230" s="39">
        <v>2016</v>
      </c>
      <c r="C230" s="32" t="s">
        <v>399</v>
      </c>
      <c r="D230" s="32">
        <v>2016</v>
      </c>
      <c r="E230" s="32">
        <v>2017</v>
      </c>
      <c r="F230" s="32" t="s">
        <v>321</v>
      </c>
      <c r="G230" s="32" t="s">
        <v>323</v>
      </c>
      <c r="H230" s="38">
        <v>1962</v>
      </c>
      <c r="I230" s="32" t="s">
        <v>389</v>
      </c>
      <c r="J230" s="32" t="s">
        <v>325</v>
      </c>
      <c r="K230" s="32" t="s">
        <v>423</v>
      </c>
      <c r="L230" s="32" t="s">
        <v>358</v>
      </c>
    </row>
    <row r="231" spans="1:12">
      <c r="A231" s="36" t="s">
        <v>11</v>
      </c>
      <c r="B231" s="39">
        <v>2016</v>
      </c>
      <c r="C231" s="32" t="s">
        <v>418</v>
      </c>
      <c r="D231" s="32">
        <v>2016</v>
      </c>
      <c r="E231" s="32">
        <v>2019</v>
      </c>
      <c r="F231" s="32" t="s">
        <v>320</v>
      </c>
      <c r="G231" s="32" t="s">
        <v>323</v>
      </c>
      <c r="H231" s="38">
        <v>1961</v>
      </c>
      <c r="I231" s="32" t="s">
        <v>350</v>
      </c>
      <c r="J231" s="32" t="s">
        <v>325</v>
      </c>
      <c r="K231" s="32" t="s">
        <v>333</v>
      </c>
      <c r="L231" s="32" t="s">
        <v>334</v>
      </c>
    </row>
    <row r="232" spans="1:12">
      <c r="A232" s="36" t="s">
        <v>11</v>
      </c>
      <c r="B232" s="39">
        <v>2017</v>
      </c>
      <c r="C232" s="32" t="s">
        <v>423</v>
      </c>
      <c r="D232" s="32">
        <v>2017</v>
      </c>
      <c r="E232" s="32">
        <v>2021</v>
      </c>
      <c r="F232" s="32" t="s">
        <v>321</v>
      </c>
      <c r="G232" s="32" t="s">
        <v>323</v>
      </c>
      <c r="H232" s="38">
        <v>1963</v>
      </c>
      <c r="I232" s="32" t="s">
        <v>358</v>
      </c>
      <c r="J232" s="32" t="s">
        <v>325</v>
      </c>
      <c r="K232" s="32" t="s">
        <v>424</v>
      </c>
      <c r="L232" s="32" t="s">
        <v>425</v>
      </c>
    </row>
    <row r="233" spans="1:12">
      <c r="A233" s="36" t="s">
        <v>11</v>
      </c>
      <c r="B233" s="39">
        <v>2017</v>
      </c>
      <c r="C233" s="32" t="s">
        <v>418</v>
      </c>
      <c r="D233" s="32">
        <v>2016</v>
      </c>
      <c r="E233" s="32">
        <v>2019</v>
      </c>
      <c r="F233" s="32" t="s">
        <v>320</v>
      </c>
      <c r="G233" s="32" t="s">
        <v>323</v>
      </c>
      <c r="H233" s="38">
        <v>1961</v>
      </c>
      <c r="I233" s="32" t="s">
        <v>350</v>
      </c>
      <c r="J233" s="32" t="s">
        <v>325</v>
      </c>
      <c r="K233" s="32" t="s">
        <v>333</v>
      </c>
      <c r="L233" s="32" t="s">
        <v>334</v>
      </c>
    </row>
    <row r="234" spans="1:12">
      <c r="A234" s="36" t="s">
        <v>11</v>
      </c>
      <c r="B234" s="39">
        <v>2018</v>
      </c>
      <c r="C234" s="32" t="s">
        <v>423</v>
      </c>
      <c r="D234" s="32">
        <v>2017</v>
      </c>
      <c r="E234" s="32">
        <v>2021</v>
      </c>
      <c r="F234" s="32" t="s">
        <v>321</v>
      </c>
      <c r="G234" s="32" t="s">
        <v>323</v>
      </c>
      <c r="H234" s="38">
        <v>1963</v>
      </c>
      <c r="I234" s="32" t="s">
        <v>358</v>
      </c>
      <c r="J234" s="32" t="s">
        <v>325</v>
      </c>
      <c r="K234" s="32" t="s">
        <v>424</v>
      </c>
      <c r="L234" s="32" t="s">
        <v>425</v>
      </c>
    </row>
    <row r="235" spans="1:12">
      <c r="A235" s="36" t="s">
        <v>11</v>
      </c>
      <c r="B235" s="39">
        <v>2018</v>
      </c>
      <c r="C235" s="32" t="s">
        <v>418</v>
      </c>
      <c r="D235" s="32">
        <v>2016</v>
      </c>
      <c r="E235" s="32">
        <v>2019</v>
      </c>
      <c r="F235" s="32" t="s">
        <v>320</v>
      </c>
      <c r="G235" s="32" t="s">
        <v>323</v>
      </c>
      <c r="H235" s="38">
        <v>1961</v>
      </c>
      <c r="I235" s="32" t="s">
        <v>350</v>
      </c>
      <c r="J235" s="32" t="s">
        <v>325</v>
      </c>
      <c r="K235" s="32" t="s">
        <v>333</v>
      </c>
      <c r="L235" s="32" t="s">
        <v>334</v>
      </c>
    </row>
    <row r="236" spans="1:12">
      <c r="A236" s="36" t="s">
        <v>11</v>
      </c>
      <c r="B236" s="39">
        <v>2019</v>
      </c>
      <c r="C236" s="32" t="s">
        <v>423</v>
      </c>
      <c r="D236" s="32">
        <v>2017</v>
      </c>
      <c r="E236" s="32">
        <v>2021</v>
      </c>
      <c r="F236" s="32" t="s">
        <v>321</v>
      </c>
      <c r="G236" s="32" t="s">
        <v>323</v>
      </c>
      <c r="H236" s="38">
        <v>1963</v>
      </c>
      <c r="I236" s="32" t="s">
        <v>358</v>
      </c>
      <c r="J236" s="32" t="s">
        <v>325</v>
      </c>
      <c r="K236" s="32" t="s">
        <v>424</v>
      </c>
      <c r="L236" s="32" t="s">
        <v>425</v>
      </c>
    </row>
    <row r="237" spans="1:12">
      <c r="A237" s="36" t="s">
        <v>11</v>
      </c>
      <c r="B237" s="39">
        <v>2019</v>
      </c>
      <c r="C237" s="32" t="s">
        <v>333</v>
      </c>
      <c r="D237" s="32">
        <v>2019</v>
      </c>
      <c r="E237" s="32">
        <v>2020</v>
      </c>
      <c r="F237" s="32" t="s">
        <v>320</v>
      </c>
      <c r="G237" s="32" t="s">
        <v>323</v>
      </c>
      <c r="H237" s="38">
        <v>1964</v>
      </c>
      <c r="I237" s="32" t="s">
        <v>334</v>
      </c>
      <c r="J237" s="32" t="s">
        <v>325</v>
      </c>
      <c r="K237" s="32" t="s">
        <v>419</v>
      </c>
      <c r="L237" s="32" t="s">
        <v>420</v>
      </c>
    </row>
    <row r="238" spans="1:12">
      <c r="A238" s="36" t="s">
        <v>11</v>
      </c>
      <c r="B238" s="39">
        <v>2020</v>
      </c>
      <c r="C238" s="32" t="s">
        <v>423</v>
      </c>
      <c r="D238" s="32">
        <v>2017</v>
      </c>
      <c r="E238" s="32">
        <v>2021</v>
      </c>
      <c r="F238" s="32" t="s">
        <v>321</v>
      </c>
      <c r="G238" s="32" t="s">
        <v>323</v>
      </c>
      <c r="H238" s="38">
        <v>1963</v>
      </c>
      <c r="I238" s="32" t="s">
        <v>358</v>
      </c>
      <c r="J238" s="32" t="s">
        <v>325</v>
      </c>
      <c r="K238" s="32" t="s">
        <v>424</v>
      </c>
      <c r="L238" s="32" t="s">
        <v>425</v>
      </c>
    </row>
    <row r="239" spans="1:12">
      <c r="A239" s="36" t="s">
        <v>11</v>
      </c>
      <c r="B239" s="39">
        <v>2020</v>
      </c>
      <c r="C239" s="34" t="s">
        <v>419</v>
      </c>
      <c r="D239" s="34">
        <v>2020</v>
      </c>
      <c r="E239" s="34">
        <v>2021</v>
      </c>
      <c r="F239" s="34" t="s">
        <v>320</v>
      </c>
      <c r="G239" s="34" t="s">
        <v>323</v>
      </c>
      <c r="H239" s="40">
        <v>1965</v>
      </c>
      <c r="I239" s="34" t="s">
        <v>420</v>
      </c>
      <c r="J239" s="34" t="s">
        <v>340</v>
      </c>
      <c r="K239" s="34" t="s">
        <v>413</v>
      </c>
      <c r="L239" s="34" t="s">
        <v>414</v>
      </c>
    </row>
    <row r="240" spans="1:12">
      <c r="A240" s="36" t="s">
        <v>11</v>
      </c>
      <c r="B240" s="39">
        <v>2021</v>
      </c>
      <c r="C240" s="32" t="s">
        <v>423</v>
      </c>
      <c r="D240" s="32">
        <v>2017</v>
      </c>
      <c r="E240" s="32">
        <v>2021</v>
      </c>
      <c r="F240" s="32" t="s">
        <v>321</v>
      </c>
      <c r="G240" s="32" t="s">
        <v>323</v>
      </c>
      <c r="H240" s="38">
        <v>1963</v>
      </c>
      <c r="I240" s="32" t="s">
        <v>358</v>
      </c>
      <c r="J240" s="32" t="s">
        <v>325</v>
      </c>
      <c r="K240" s="32" t="s">
        <v>424</v>
      </c>
      <c r="L240" s="32" t="s">
        <v>425</v>
      </c>
    </row>
    <row r="241" spans="1:12">
      <c r="A241" s="36" t="s">
        <v>11</v>
      </c>
      <c r="B241" s="39">
        <v>2021</v>
      </c>
      <c r="C241" s="34" t="s">
        <v>419</v>
      </c>
      <c r="D241" s="34">
        <v>2020</v>
      </c>
      <c r="E241" s="34">
        <v>2021</v>
      </c>
      <c r="F241" s="34" t="s">
        <v>320</v>
      </c>
      <c r="G241" s="34" t="s">
        <v>323</v>
      </c>
      <c r="H241" s="40">
        <v>1965</v>
      </c>
      <c r="I241" s="34" t="s">
        <v>420</v>
      </c>
      <c r="J241" s="34" t="s">
        <v>340</v>
      </c>
      <c r="K241" s="34" t="s">
        <v>413</v>
      </c>
      <c r="L241" s="34" t="s">
        <v>414</v>
      </c>
    </row>
    <row r="242" spans="1:12">
      <c r="A242" s="36" t="s">
        <v>11</v>
      </c>
      <c r="B242" s="39">
        <v>2022</v>
      </c>
      <c r="C242" s="35"/>
      <c r="D242" s="35"/>
      <c r="E242" s="35"/>
      <c r="F242" s="35" t="s">
        <v>321</v>
      </c>
      <c r="G242" s="35"/>
      <c r="H242" s="39"/>
      <c r="I242" s="35"/>
      <c r="J242" s="35"/>
      <c r="K242" s="35"/>
      <c r="L242" s="35"/>
    </row>
    <row r="243" spans="1:12">
      <c r="A243" s="36" t="s">
        <v>11</v>
      </c>
      <c r="B243" s="39">
        <v>2022</v>
      </c>
      <c r="C243" s="35"/>
      <c r="D243" s="35"/>
      <c r="E243" s="35"/>
      <c r="F243" s="35" t="s">
        <v>320</v>
      </c>
      <c r="G243" s="35"/>
      <c r="H243" s="39"/>
      <c r="I243" s="35"/>
      <c r="J243" s="35"/>
      <c r="K243" s="35"/>
      <c r="L243" s="35"/>
    </row>
    <row r="244" spans="1:12">
      <c r="A244" s="35" t="s">
        <v>12</v>
      </c>
      <c r="B244" s="39">
        <v>2012</v>
      </c>
      <c r="C244" s="32" t="s">
        <v>430</v>
      </c>
      <c r="D244" s="32">
        <v>2011</v>
      </c>
      <c r="E244" s="32">
        <v>2013</v>
      </c>
      <c r="F244" s="32" t="s">
        <v>321</v>
      </c>
      <c r="G244" s="32" t="s">
        <v>323</v>
      </c>
      <c r="H244" s="38">
        <v>1965</v>
      </c>
      <c r="I244" s="32" t="s">
        <v>431</v>
      </c>
      <c r="J244" s="32" t="s">
        <v>325</v>
      </c>
      <c r="K244" s="32" t="s">
        <v>432</v>
      </c>
      <c r="L244" s="32" t="s">
        <v>433</v>
      </c>
    </row>
    <row r="245" spans="1:12">
      <c r="A245" s="35" t="s">
        <v>12</v>
      </c>
      <c r="B245" s="39">
        <v>2012</v>
      </c>
      <c r="C245" s="32" t="s">
        <v>440</v>
      </c>
      <c r="D245" s="32">
        <v>2011</v>
      </c>
      <c r="E245" s="32">
        <v>2014</v>
      </c>
      <c r="F245" s="32" t="s">
        <v>320</v>
      </c>
      <c r="G245" s="32" t="s">
        <v>323</v>
      </c>
      <c r="H245" s="38">
        <v>1955</v>
      </c>
      <c r="I245" s="32" t="s">
        <v>331</v>
      </c>
      <c r="J245" s="32" t="s">
        <v>325</v>
      </c>
      <c r="K245" s="32" t="s">
        <v>430</v>
      </c>
      <c r="L245" s="32" t="s">
        <v>431</v>
      </c>
    </row>
    <row r="246" spans="1:12">
      <c r="A246" s="35" t="s">
        <v>12</v>
      </c>
      <c r="B246" s="39">
        <v>2013</v>
      </c>
      <c r="C246" s="32" t="s">
        <v>432</v>
      </c>
      <c r="D246" s="32">
        <v>2013</v>
      </c>
      <c r="E246" s="32">
        <v>2015</v>
      </c>
      <c r="F246" s="32" t="s">
        <v>321</v>
      </c>
      <c r="G246" s="32" t="s">
        <v>323</v>
      </c>
      <c r="H246" s="38">
        <v>1966</v>
      </c>
      <c r="I246" s="32" t="s">
        <v>433</v>
      </c>
      <c r="J246" s="32" t="s">
        <v>325</v>
      </c>
      <c r="K246" s="32" t="s">
        <v>434</v>
      </c>
      <c r="L246" s="32" t="s">
        <v>350</v>
      </c>
    </row>
    <row r="247" spans="1:12">
      <c r="A247" s="35" t="s">
        <v>12</v>
      </c>
      <c r="B247" s="39">
        <v>2013</v>
      </c>
      <c r="C247" s="32" t="s">
        <v>440</v>
      </c>
      <c r="D247" s="32">
        <v>2011</v>
      </c>
      <c r="E247" s="32">
        <v>2014</v>
      </c>
      <c r="F247" s="32" t="s">
        <v>320</v>
      </c>
      <c r="G247" s="32" t="s">
        <v>323</v>
      </c>
      <c r="H247" s="38">
        <v>1955</v>
      </c>
      <c r="I247" s="32" t="s">
        <v>331</v>
      </c>
      <c r="J247" s="32" t="s">
        <v>325</v>
      </c>
      <c r="K247" s="32" t="s">
        <v>430</v>
      </c>
      <c r="L247" s="32" t="s">
        <v>431</v>
      </c>
    </row>
    <row r="248" spans="1:12">
      <c r="A248" s="35" t="s">
        <v>12</v>
      </c>
      <c r="B248" s="39">
        <v>2014</v>
      </c>
      <c r="C248" s="32" t="s">
        <v>432</v>
      </c>
      <c r="D248" s="32">
        <v>2013</v>
      </c>
      <c r="E248" s="32">
        <v>2015</v>
      </c>
      <c r="F248" s="32" t="s">
        <v>321</v>
      </c>
      <c r="G248" s="32" t="s">
        <v>323</v>
      </c>
      <c r="H248" s="38">
        <v>1966</v>
      </c>
      <c r="I248" s="32" t="s">
        <v>433</v>
      </c>
      <c r="J248" s="32" t="s">
        <v>325</v>
      </c>
      <c r="K248" s="32" t="s">
        <v>434</v>
      </c>
      <c r="L248" s="32" t="s">
        <v>350</v>
      </c>
    </row>
    <row r="249" spans="1:12">
      <c r="A249" s="35" t="s">
        <v>12</v>
      </c>
      <c r="B249" s="39">
        <v>2014</v>
      </c>
      <c r="C249" s="32" t="s">
        <v>430</v>
      </c>
      <c r="D249" s="32">
        <v>2014</v>
      </c>
      <c r="E249" s="32">
        <v>2018</v>
      </c>
      <c r="F249" s="32" t="s">
        <v>320</v>
      </c>
      <c r="G249" s="32" t="s">
        <v>323</v>
      </c>
      <c r="H249" s="38">
        <v>1965</v>
      </c>
      <c r="I249" s="32" t="s">
        <v>431</v>
      </c>
      <c r="J249" s="32" t="s">
        <v>325</v>
      </c>
      <c r="K249" s="32" t="s">
        <v>434</v>
      </c>
      <c r="L249" s="32" t="s">
        <v>350</v>
      </c>
    </row>
    <row r="250" spans="1:12">
      <c r="A250" s="36" t="s">
        <v>12</v>
      </c>
      <c r="B250" s="39">
        <v>2015</v>
      </c>
      <c r="C250" s="32" t="s">
        <v>434</v>
      </c>
      <c r="D250" s="32">
        <v>2015</v>
      </c>
      <c r="E250" s="32">
        <v>2018</v>
      </c>
      <c r="F250" s="32" t="s">
        <v>321</v>
      </c>
      <c r="G250" s="32" t="s">
        <v>323</v>
      </c>
      <c r="H250" s="38">
        <v>1963</v>
      </c>
      <c r="I250" s="32" t="s">
        <v>350</v>
      </c>
      <c r="J250" s="32" t="s">
        <v>340</v>
      </c>
      <c r="K250" s="32" t="s">
        <v>435</v>
      </c>
      <c r="L250" s="32" t="s">
        <v>324</v>
      </c>
    </row>
    <row r="251" spans="1:12">
      <c r="A251" s="36" t="s">
        <v>12</v>
      </c>
      <c r="B251" s="39">
        <v>2015</v>
      </c>
      <c r="C251" s="32" t="s">
        <v>430</v>
      </c>
      <c r="D251" s="32">
        <v>2014</v>
      </c>
      <c r="E251" s="32">
        <v>2018</v>
      </c>
      <c r="F251" s="32" t="s">
        <v>320</v>
      </c>
      <c r="G251" s="32" t="s">
        <v>323</v>
      </c>
      <c r="H251" s="38">
        <v>1965</v>
      </c>
      <c r="I251" s="32" t="s">
        <v>431</v>
      </c>
      <c r="J251" s="32" t="s">
        <v>325</v>
      </c>
      <c r="K251" s="32" t="s">
        <v>434</v>
      </c>
      <c r="L251" s="32" t="s">
        <v>350</v>
      </c>
    </row>
    <row r="252" spans="1:12">
      <c r="A252" s="36" t="s">
        <v>12</v>
      </c>
      <c r="B252" s="39">
        <v>2016</v>
      </c>
      <c r="C252" s="32" t="s">
        <v>434</v>
      </c>
      <c r="D252" s="32">
        <v>2015</v>
      </c>
      <c r="E252" s="32">
        <v>2018</v>
      </c>
      <c r="F252" s="32" t="s">
        <v>321</v>
      </c>
      <c r="G252" s="32" t="s">
        <v>323</v>
      </c>
      <c r="H252" s="38">
        <v>1963</v>
      </c>
      <c r="I252" s="32" t="s">
        <v>350</v>
      </c>
      <c r="J252" s="32" t="s">
        <v>340</v>
      </c>
      <c r="K252" s="32" t="s">
        <v>435</v>
      </c>
      <c r="L252" s="32" t="s">
        <v>324</v>
      </c>
    </row>
    <row r="253" spans="1:12">
      <c r="A253" s="36" t="s">
        <v>12</v>
      </c>
      <c r="B253" s="39">
        <v>2016</v>
      </c>
      <c r="C253" s="32" t="s">
        <v>430</v>
      </c>
      <c r="D253" s="32">
        <v>2014</v>
      </c>
      <c r="E253" s="32">
        <v>2018</v>
      </c>
      <c r="F253" s="32" t="s">
        <v>320</v>
      </c>
      <c r="G253" s="32" t="s">
        <v>323</v>
      </c>
      <c r="H253" s="38">
        <v>1965</v>
      </c>
      <c r="I253" s="32" t="s">
        <v>431</v>
      </c>
      <c r="J253" s="32" t="s">
        <v>325</v>
      </c>
      <c r="K253" s="32" t="s">
        <v>434</v>
      </c>
      <c r="L253" s="32" t="s">
        <v>350</v>
      </c>
    </row>
    <row r="254" spans="1:12">
      <c r="A254" s="36" t="s">
        <v>12</v>
      </c>
      <c r="B254" s="39">
        <v>2017</v>
      </c>
      <c r="C254" s="32" t="s">
        <v>434</v>
      </c>
      <c r="D254" s="32">
        <v>2015</v>
      </c>
      <c r="E254" s="32">
        <v>2018</v>
      </c>
      <c r="F254" s="32" t="s">
        <v>321</v>
      </c>
      <c r="G254" s="32" t="s">
        <v>323</v>
      </c>
      <c r="H254" s="38">
        <v>1963</v>
      </c>
      <c r="I254" s="32" t="s">
        <v>350</v>
      </c>
      <c r="J254" s="32" t="s">
        <v>340</v>
      </c>
      <c r="K254" s="32" t="s">
        <v>435</v>
      </c>
      <c r="L254" s="32" t="s">
        <v>324</v>
      </c>
    </row>
    <row r="255" spans="1:12">
      <c r="A255" s="36" t="s">
        <v>12</v>
      </c>
      <c r="B255" s="39">
        <v>2017</v>
      </c>
      <c r="C255" s="32" t="s">
        <v>430</v>
      </c>
      <c r="D255" s="32">
        <v>2014</v>
      </c>
      <c r="E255" s="32">
        <v>2018</v>
      </c>
      <c r="F255" s="32" t="s">
        <v>320</v>
      </c>
      <c r="G255" s="32" t="s">
        <v>323</v>
      </c>
      <c r="H255" s="38">
        <v>1965</v>
      </c>
      <c r="I255" s="32" t="s">
        <v>431</v>
      </c>
      <c r="J255" s="32" t="s">
        <v>325</v>
      </c>
      <c r="K255" s="32" t="s">
        <v>434</v>
      </c>
      <c r="L255" s="32" t="s">
        <v>350</v>
      </c>
    </row>
    <row r="256" spans="1:12">
      <c r="A256" s="36" t="s">
        <v>12</v>
      </c>
      <c r="B256" s="39">
        <v>2018</v>
      </c>
      <c r="C256" s="32" t="s">
        <v>435</v>
      </c>
      <c r="D256" s="32">
        <v>2018</v>
      </c>
      <c r="E256" s="32">
        <v>2021</v>
      </c>
      <c r="F256" s="32" t="s">
        <v>321</v>
      </c>
      <c r="G256" s="32" t="s">
        <v>323</v>
      </c>
      <c r="H256" s="38">
        <v>1965</v>
      </c>
      <c r="I256" s="32" t="s">
        <v>324</v>
      </c>
      <c r="J256" s="32" t="s">
        <v>325</v>
      </c>
      <c r="K256" s="32" t="s">
        <v>436</v>
      </c>
      <c r="L256" s="32" t="s">
        <v>437</v>
      </c>
    </row>
    <row r="257" spans="1:12">
      <c r="A257" s="36" t="s">
        <v>12</v>
      </c>
      <c r="B257" s="39">
        <v>2018</v>
      </c>
      <c r="C257" s="32" t="s">
        <v>434</v>
      </c>
      <c r="D257" s="32">
        <v>2018</v>
      </c>
      <c r="E257" s="32">
        <v>2021</v>
      </c>
      <c r="F257" s="32" t="s">
        <v>320</v>
      </c>
      <c r="G257" s="32" t="s">
        <v>323</v>
      </c>
      <c r="H257" s="38">
        <v>1963</v>
      </c>
      <c r="I257" s="32" t="s">
        <v>350</v>
      </c>
      <c r="J257" s="32" t="s">
        <v>340</v>
      </c>
      <c r="K257" s="32" t="s">
        <v>435</v>
      </c>
      <c r="L257" s="32" t="s">
        <v>348</v>
      </c>
    </row>
    <row r="258" spans="1:12">
      <c r="A258" s="36" t="s">
        <v>12</v>
      </c>
      <c r="B258" s="39">
        <v>2019</v>
      </c>
      <c r="C258" s="32" t="s">
        <v>435</v>
      </c>
      <c r="D258" s="32">
        <v>2018</v>
      </c>
      <c r="E258" s="32">
        <v>2021</v>
      </c>
      <c r="F258" s="32" t="s">
        <v>321</v>
      </c>
      <c r="G258" s="32" t="s">
        <v>323</v>
      </c>
      <c r="H258" s="38">
        <v>1965</v>
      </c>
      <c r="I258" s="32" t="s">
        <v>324</v>
      </c>
      <c r="J258" s="32" t="s">
        <v>325</v>
      </c>
      <c r="K258" s="32" t="s">
        <v>436</v>
      </c>
      <c r="L258" s="32" t="s">
        <v>437</v>
      </c>
    </row>
    <row r="259" spans="1:12">
      <c r="A259" s="36" t="s">
        <v>12</v>
      </c>
      <c r="B259" s="39">
        <v>2019</v>
      </c>
      <c r="C259" s="32" t="s">
        <v>434</v>
      </c>
      <c r="D259" s="32">
        <v>2018</v>
      </c>
      <c r="E259" s="32">
        <v>2021</v>
      </c>
      <c r="F259" s="32" t="s">
        <v>320</v>
      </c>
      <c r="G259" s="32" t="s">
        <v>323</v>
      </c>
      <c r="H259" s="38">
        <v>1963</v>
      </c>
      <c r="I259" s="32" t="s">
        <v>350</v>
      </c>
      <c r="J259" s="32" t="s">
        <v>340</v>
      </c>
      <c r="K259" s="32" t="s">
        <v>435</v>
      </c>
      <c r="L259" s="32" t="s">
        <v>348</v>
      </c>
    </row>
    <row r="260" spans="1:12">
      <c r="A260" s="36" t="s">
        <v>12</v>
      </c>
      <c r="B260" s="39">
        <v>2020</v>
      </c>
      <c r="C260" s="32" t="s">
        <v>435</v>
      </c>
      <c r="D260" s="32">
        <v>2018</v>
      </c>
      <c r="E260" s="32">
        <v>2021</v>
      </c>
      <c r="F260" s="32" t="s">
        <v>321</v>
      </c>
      <c r="G260" s="32" t="s">
        <v>323</v>
      </c>
      <c r="H260" s="38">
        <v>1965</v>
      </c>
      <c r="I260" s="32" t="s">
        <v>324</v>
      </c>
      <c r="J260" s="32" t="s">
        <v>325</v>
      </c>
      <c r="K260" s="32" t="s">
        <v>436</v>
      </c>
      <c r="L260" s="32" t="s">
        <v>437</v>
      </c>
    </row>
    <row r="261" spans="1:12">
      <c r="A261" s="36" t="s">
        <v>12</v>
      </c>
      <c r="B261" s="39">
        <v>2020</v>
      </c>
      <c r="C261" s="32" t="s">
        <v>434</v>
      </c>
      <c r="D261" s="32">
        <v>2018</v>
      </c>
      <c r="E261" s="32">
        <v>2021</v>
      </c>
      <c r="F261" s="32" t="s">
        <v>320</v>
      </c>
      <c r="G261" s="32" t="s">
        <v>323</v>
      </c>
      <c r="H261" s="38">
        <v>1963</v>
      </c>
      <c r="I261" s="32" t="s">
        <v>350</v>
      </c>
      <c r="J261" s="32" t="s">
        <v>340</v>
      </c>
      <c r="K261" s="32" t="s">
        <v>435</v>
      </c>
      <c r="L261" s="32" t="s">
        <v>348</v>
      </c>
    </row>
    <row r="262" spans="1:12">
      <c r="A262" s="36" t="s">
        <v>12</v>
      </c>
      <c r="B262" s="39">
        <v>2021</v>
      </c>
      <c r="C262" s="32" t="s">
        <v>435</v>
      </c>
      <c r="D262" s="32">
        <v>2018</v>
      </c>
      <c r="E262" s="32">
        <v>2021</v>
      </c>
      <c r="F262" s="32" t="s">
        <v>321</v>
      </c>
      <c r="G262" s="32" t="s">
        <v>323</v>
      </c>
      <c r="H262" s="38">
        <v>1965</v>
      </c>
      <c r="I262" s="32" t="s">
        <v>324</v>
      </c>
      <c r="J262" s="32" t="s">
        <v>325</v>
      </c>
      <c r="K262" s="32" t="s">
        <v>436</v>
      </c>
      <c r="L262" s="32" t="s">
        <v>437</v>
      </c>
    </row>
    <row r="263" spans="1:12">
      <c r="A263" s="36" t="s">
        <v>12</v>
      </c>
      <c r="B263" s="39">
        <v>2021</v>
      </c>
      <c r="C263" s="32" t="s">
        <v>434</v>
      </c>
      <c r="D263" s="32">
        <v>2018</v>
      </c>
      <c r="E263" s="32">
        <v>2021</v>
      </c>
      <c r="F263" s="32" t="s">
        <v>320</v>
      </c>
      <c r="G263" s="32" t="s">
        <v>323</v>
      </c>
      <c r="H263" s="38">
        <v>1963</v>
      </c>
      <c r="I263" s="32" t="s">
        <v>350</v>
      </c>
      <c r="J263" s="32" t="s">
        <v>340</v>
      </c>
      <c r="K263" s="32" t="s">
        <v>435</v>
      </c>
      <c r="L263" s="32" t="s">
        <v>348</v>
      </c>
    </row>
    <row r="264" spans="1:12">
      <c r="A264" s="36" t="s">
        <v>12</v>
      </c>
      <c r="B264" s="39">
        <v>2022</v>
      </c>
      <c r="C264" s="35"/>
      <c r="D264" s="35"/>
      <c r="E264" s="35"/>
      <c r="F264" s="35" t="s">
        <v>321</v>
      </c>
      <c r="G264" s="35"/>
      <c r="H264" s="39"/>
      <c r="I264" s="35"/>
      <c r="J264" s="35"/>
      <c r="K264" s="35"/>
      <c r="L264" s="35"/>
    </row>
    <row r="265" spans="1:12">
      <c r="A265" s="36" t="s">
        <v>12</v>
      </c>
      <c r="B265" s="39">
        <v>2022</v>
      </c>
      <c r="C265" s="35"/>
      <c r="D265" s="35"/>
      <c r="E265" s="35"/>
      <c r="F265" s="35" t="s">
        <v>320</v>
      </c>
      <c r="G265" s="35"/>
      <c r="H265" s="39"/>
      <c r="I265" s="35"/>
      <c r="J265" s="35"/>
      <c r="K265" s="35"/>
      <c r="L265" s="35"/>
    </row>
    <row r="266" spans="1:12">
      <c r="A266" s="35" t="s">
        <v>13</v>
      </c>
      <c r="B266" s="39">
        <v>2012</v>
      </c>
      <c r="C266" s="32" t="s">
        <v>426</v>
      </c>
      <c r="D266" s="32">
        <v>2012</v>
      </c>
      <c r="E266" s="32">
        <v>2016</v>
      </c>
      <c r="F266" s="32" t="s">
        <v>321</v>
      </c>
      <c r="G266" s="32" t="s">
        <v>335</v>
      </c>
      <c r="H266" s="38">
        <v>1960</v>
      </c>
      <c r="I266" s="32" t="s">
        <v>358</v>
      </c>
      <c r="J266" s="32" t="s">
        <v>325</v>
      </c>
      <c r="K266" s="32" t="s">
        <v>427</v>
      </c>
      <c r="L266" s="32" t="s">
        <v>350</v>
      </c>
    </row>
    <row r="267" spans="1:12">
      <c r="A267" s="35" t="s">
        <v>13</v>
      </c>
      <c r="B267" s="39">
        <v>2012</v>
      </c>
      <c r="C267" s="32" t="s">
        <v>341</v>
      </c>
      <c r="D267" s="32">
        <v>2012</v>
      </c>
      <c r="E267" s="32">
        <v>2013</v>
      </c>
      <c r="F267" s="32" t="s">
        <v>320</v>
      </c>
      <c r="G267" s="32" t="s">
        <v>323</v>
      </c>
      <c r="H267" s="38">
        <v>1962</v>
      </c>
      <c r="I267" s="32" t="s">
        <v>342</v>
      </c>
      <c r="J267" s="32" t="s">
        <v>340</v>
      </c>
      <c r="K267" s="32" t="s">
        <v>430</v>
      </c>
      <c r="L267" s="32" t="s">
        <v>431</v>
      </c>
    </row>
    <row r="268" spans="1:12">
      <c r="A268" s="35" t="s">
        <v>13</v>
      </c>
      <c r="B268" s="39">
        <v>2013</v>
      </c>
      <c r="C268" s="32" t="s">
        <v>426</v>
      </c>
      <c r="D268" s="32">
        <v>2012</v>
      </c>
      <c r="E268" s="32">
        <v>2016</v>
      </c>
      <c r="F268" s="32" t="s">
        <v>321</v>
      </c>
      <c r="G268" s="32" t="s">
        <v>335</v>
      </c>
      <c r="H268" s="38">
        <v>1960</v>
      </c>
      <c r="I268" s="32" t="s">
        <v>358</v>
      </c>
      <c r="J268" s="32" t="s">
        <v>325</v>
      </c>
      <c r="K268" s="32" t="s">
        <v>427</v>
      </c>
      <c r="L268" s="32" t="s">
        <v>350</v>
      </c>
    </row>
    <row r="269" spans="1:12">
      <c r="A269" s="35" t="s">
        <v>13</v>
      </c>
      <c r="B269" s="39">
        <v>2013</v>
      </c>
      <c r="C269" s="32" t="s">
        <v>430</v>
      </c>
      <c r="D269" s="32">
        <v>2013</v>
      </c>
      <c r="E269" s="32">
        <v>2014</v>
      </c>
      <c r="F269" s="32" t="s">
        <v>320</v>
      </c>
      <c r="G269" s="32" t="s">
        <v>323</v>
      </c>
      <c r="H269" s="38">
        <v>1965</v>
      </c>
      <c r="I269" s="32" t="s">
        <v>431</v>
      </c>
      <c r="J269" s="32" t="s">
        <v>325</v>
      </c>
      <c r="K269" s="32" t="s">
        <v>438</v>
      </c>
      <c r="L269" s="32" t="s">
        <v>350</v>
      </c>
    </row>
    <row r="270" spans="1:12">
      <c r="A270" s="35" t="s">
        <v>13</v>
      </c>
      <c r="B270" s="39">
        <v>2014</v>
      </c>
      <c r="C270" s="32" t="s">
        <v>426</v>
      </c>
      <c r="D270" s="32">
        <v>2012</v>
      </c>
      <c r="E270" s="32">
        <v>2016</v>
      </c>
      <c r="F270" s="32" t="s">
        <v>321</v>
      </c>
      <c r="G270" s="32" t="s">
        <v>335</v>
      </c>
      <c r="H270" s="38">
        <v>1960</v>
      </c>
      <c r="I270" s="32" t="s">
        <v>358</v>
      </c>
      <c r="J270" s="32" t="s">
        <v>325</v>
      </c>
      <c r="K270" s="32" t="s">
        <v>427</v>
      </c>
      <c r="L270" s="32" t="s">
        <v>350</v>
      </c>
    </row>
    <row r="271" spans="1:12">
      <c r="A271" s="35" t="s">
        <v>13</v>
      </c>
      <c r="B271" s="39">
        <v>2014</v>
      </c>
      <c r="C271" s="32" t="s">
        <v>430</v>
      </c>
      <c r="D271" s="32">
        <v>2013</v>
      </c>
      <c r="E271" s="32">
        <v>2014</v>
      </c>
      <c r="F271" s="32" t="s">
        <v>320</v>
      </c>
      <c r="G271" s="32" t="s">
        <v>323</v>
      </c>
      <c r="H271" s="38">
        <v>1965</v>
      </c>
      <c r="I271" s="32" t="s">
        <v>431</v>
      </c>
      <c r="J271" s="32" t="s">
        <v>325</v>
      </c>
      <c r="K271" s="32" t="s">
        <v>438</v>
      </c>
      <c r="L271" s="32" t="s">
        <v>350</v>
      </c>
    </row>
    <row r="272" spans="1:12">
      <c r="A272" s="36" t="s">
        <v>13</v>
      </c>
      <c r="B272" s="39">
        <v>2015</v>
      </c>
      <c r="C272" s="32" t="s">
        <v>426</v>
      </c>
      <c r="D272" s="32">
        <v>2012</v>
      </c>
      <c r="E272" s="32">
        <v>2016</v>
      </c>
      <c r="F272" s="32" t="s">
        <v>321</v>
      </c>
      <c r="G272" s="32" t="s">
        <v>335</v>
      </c>
      <c r="H272" s="38">
        <v>1960</v>
      </c>
      <c r="I272" s="32" t="s">
        <v>358</v>
      </c>
      <c r="J272" s="32" t="s">
        <v>325</v>
      </c>
      <c r="K272" s="32" t="s">
        <v>427</v>
      </c>
      <c r="L272" s="32" t="s">
        <v>350</v>
      </c>
    </row>
    <row r="273" spans="1:12">
      <c r="A273" s="36" t="s">
        <v>13</v>
      </c>
      <c r="B273" s="39">
        <v>2015</v>
      </c>
      <c r="C273" s="32" t="s">
        <v>438</v>
      </c>
      <c r="D273" s="32">
        <v>2015</v>
      </c>
      <c r="E273" s="32">
        <v>2017</v>
      </c>
      <c r="F273" s="32" t="s">
        <v>320</v>
      </c>
      <c r="G273" s="32" t="s">
        <v>323</v>
      </c>
      <c r="H273" s="38">
        <v>1964</v>
      </c>
      <c r="I273" s="32" t="s">
        <v>350</v>
      </c>
      <c r="J273" s="32" t="s">
        <v>325</v>
      </c>
      <c r="K273" s="32" t="s">
        <v>400</v>
      </c>
      <c r="L273" s="32" t="s">
        <v>324</v>
      </c>
    </row>
    <row r="274" spans="1:12">
      <c r="A274" s="36" t="s">
        <v>13</v>
      </c>
      <c r="B274" s="39">
        <v>2016</v>
      </c>
      <c r="C274" s="32" t="s">
        <v>426</v>
      </c>
      <c r="D274" s="32">
        <v>2012</v>
      </c>
      <c r="E274" s="32">
        <v>2016</v>
      </c>
      <c r="F274" s="32" t="s">
        <v>321</v>
      </c>
      <c r="G274" s="32" t="s">
        <v>335</v>
      </c>
      <c r="H274" s="38">
        <v>1960</v>
      </c>
      <c r="I274" s="32" t="s">
        <v>358</v>
      </c>
      <c r="J274" s="32" t="s">
        <v>325</v>
      </c>
      <c r="K274" s="32" t="s">
        <v>427</v>
      </c>
      <c r="L274" s="32" t="s">
        <v>350</v>
      </c>
    </row>
    <row r="275" spans="1:12">
      <c r="A275" s="36" t="s">
        <v>13</v>
      </c>
      <c r="B275" s="39">
        <v>2016</v>
      </c>
      <c r="C275" s="32" t="s">
        <v>438</v>
      </c>
      <c r="D275" s="32">
        <v>2015</v>
      </c>
      <c r="E275" s="32">
        <v>2017</v>
      </c>
      <c r="F275" s="32" t="s">
        <v>320</v>
      </c>
      <c r="G275" s="32" t="s">
        <v>323</v>
      </c>
      <c r="H275" s="38">
        <v>1964</v>
      </c>
      <c r="I275" s="32" t="s">
        <v>350</v>
      </c>
      <c r="J275" s="32" t="s">
        <v>325</v>
      </c>
      <c r="K275" s="32" t="s">
        <v>400</v>
      </c>
      <c r="L275" s="32" t="s">
        <v>324</v>
      </c>
    </row>
    <row r="276" spans="1:12">
      <c r="A276" s="36" t="s">
        <v>13</v>
      </c>
      <c r="B276" s="39">
        <v>2017</v>
      </c>
      <c r="C276" s="32" t="s">
        <v>427</v>
      </c>
      <c r="D276" s="32">
        <v>2017</v>
      </c>
      <c r="E276" s="32">
        <v>2020</v>
      </c>
      <c r="F276" s="32" t="s">
        <v>321</v>
      </c>
      <c r="G276" s="32" t="s">
        <v>323</v>
      </c>
      <c r="H276" s="38">
        <v>1966</v>
      </c>
      <c r="I276" s="32" t="s">
        <v>350</v>
      </c>
      <c r="J276" s="32" t="s">
        <v>325</v>
      </c>
      <c r="K276" s="32" t="s">
        <v>428</v>
      </c>
      <c r="L276" s="32" t="s">
        <v>429</v>
      </c>
    </row>
    <row r="277" spans="1:12">
      <c r="A277" s="36" t="s">
        <v>13</v>
      </c>
      <c r="B277" s="39">
        <v>2017</v>
      </c>
      <c r="C277" s="32" t="s">
        <v>400</v>
      </c>
      <c r="D277" s="32">
        <v>2017</v>
      </c>
      <c r="E277" s="32">
        <v>2020</v>
      </c>
      <c r="F277" s="32" t="s">
        <v>320</v>
      </c>
      <c r="G277" s="32" t="s">
        <v>323</v>
      </c>
      <c r="H277" s="38">
        <v>1964</v>
      </c>
      <c r="I277" s="32" t="s">
        <v>324</v>
      </c>
      <c r="J277" s="32" t="s">
        <v>340</v>
      </c>
      <c r="K277" s="32" t="s">
        <v>439</v>
      </c>
      <c r="L277" s="32" t="s">
        <v>324</v>
      </c>
    </row>
    <row r="278" spans="1:12">
      <c r="A278" s="36" t="s">
        <v>13</v>
      </c>
      <c r="B278" s="39">
        <v>2018</v>
      </c>
      <c r="C278" s="32" t="s">
        <v>427</v>
      </c>
      <c r="D278" s="32">
        <v>2017</v>
      </c>
      <c r="E278" s="32">
        <v>2020</v>
      </c>
      <c r="F278" s="32" t="s">
        <v>321</v>
      </c>
      <c r="G278" s="32" t="s">
        <v>323</v>
      </c>
      <c r="H278" s="38">
        <v>1966</v>
      </c>
      <c r="I278" s="32" t="s">
        <v>350</v>
      </c>
      <c r="J278" s="32" t="s">
        <v>325</v>
      </c>
      <c r="K278" s="32" t="s">
        <v>428</v>
      </c>
      <c r="L278" s="32" t="s">
        <v>429</v>
      </c>
    </row>
    <row r="279" spans="1:12">
      <c r="A279" s="36" t="s">
        <v>13</v>
      </c>
      <c r="B279" s="39">
        <v>2018</v>
      </c>
      <c r="C279" s="32" t="s">
        <v>400</v>
      </c>
      <c r="D279" s="32">
        <v>2017</v>
      </c>
      <c r="E279" s="32">
        <v>2020</v>
      </c>
      <c r="F279" s="32" t="s">
        <v>320</v>
      </c>
      <c r="G279" s="32" t="s">
        <v>323</v>
      </c>
      <c r="H279" s="38">
        <v>1964</v>
      </c>
      <c r="I279" s="32" t="s">
        <v>324</v>
      </c>
      <c r="J279" s="32" t="s">
        <v>340</v>
      </c>
      <c r="K279" s="32" t="s">
        <v>439</v>
      </c>
      <c r="L279" s="32" t="s">
        <v>324</v>
      </c>
    </row>
    <row r="280" spans="1:12">
      <c r="A280" s="36" t="s">
        <v>13</v>
      </c>
      <c r="B280" s="39">
        <v>2019</v>
      </c>
      <c r="C280" s="32" t="s">
        <v>427</v>
      </c>
      <c r="D280" s="32">
        <v>2017</v>
      </c>
      <c r="E280" s="32">
        <v>2020</v>
      </c>
      <c r="F280" s="32" t="s">
        <v>321</v>
      </c>
      <c r="G280" s="32" t="s">
        <v>323</v>
      </c>
      <c r="H280" s="38">
        <v>1966</v>
      </c>
      <c r="I280" s="32" t="s">
        <v>350</v>
      </c>
      <c r="J280" s="32" t="s">
        <v>325</v>
      </c>
      <c r="K280" s="32" t="s">
        <v>428</v>
      </c>
      <c r="L280" s="32" t="s">
        <v>429</v>
      </c>
    </row>
    <row r="281" spans="1:12">
      <c r="A281" s="36" t="s">
        <v>13</v>
      </c>
      <c r="B281" s="39">
        <v>2019</v>
      </c>
      <c r="C281" s="32" t="s">
        <v>400</v>
      </c>
      <c r="D281" s="32">
        <v>2017</v>
      </c>
      <c r="E281" s="32">
        <v>2020</v>
      </c>
      <c r="F281" s="32" t="s">
        <v>320</v>
      </c>
      <c r="G281" s="32" t="s">
        <v>323</v>
      </c>
      <c r="H281" s="38">
        <v>1964</v>
      </c>
      <c r="I281" s="32" t="s">
        <v>324</v>
      </c>
      <c r="J281" s="32" t="s">
        <v>340</v>
      </c>
      <c r="K281" s="32" t="s">
        <v>439</v>
      </c>
      <c r="L281" s="32" t="s">
        <v>324</v>
      </c>
    </row>
    <row r="282" spans="1:12">
      <c r="A282" s="36" t="s">
        <v>13</v>
      </c>
      <c r="B282" s="39">
        <v>2020</v>
      </c>
      <c r="C282" s="32" t="s">
        <v>428</v>
      </c>
      <c r="D282" s="32">
        <v>2020</v>
      </c>
      <c r="E282" s="32" t="s">
        <v>354</v>
      </c>
      <c r="F282" s="32" t="s">
        <v>321</v>
      </c>
      <c r="G282" s="32" t="s">
        <v>323</v>
      </c>
      <c r="H282" s="38">
        <v>1968</v>
      </c>
      <c r="I282" s="32" t="s">
        <v>429</v>
      </c>
      <c r="J282" s="32" t="s">
        <v>325</v>
      </c>
      <c r="K282" s="35"/>
      <c r="L282" s="35"/>
    </row>
    <row r="283" spans="1:12">
      <c r="A283" s="36" t="s">
        <v>13</v>
      </c>
      <c r="B283" s="39">
        <v>2020</v>
      </c>
      <c r="C283" s="32" t="s">
        <v>439</v>
      </c>
      <c r="D283" s="32">
        <v>2020</v>
      </c>
      <c r="E283" s="32" t="s">
        <v>354</v>
      </c>
      <c r="F283" s="32" t="s">
        <v>320</v>
      </c>
      <c r="G283" s="32" t="s">
        <v>323</v>
      </c>
      <c r="H283" s="38">
        <v>1965</v>
      </c>
      <c r="I283" s="32" t="s">
        <v>324</v>
      </c>
      <c r="J283" s="32" t="s">
        <v>325</v>
      </c>
      <c r="K283" s="35"/>
      <c r="L283" s="35"/>
    </row>
    <row r="284" spans="1:12">
      <c r="A284" s="36" t="s">
        <v>13</v>
      </c>
      <c r="B284" s="39">
        <v>2021</v>
      </c>
      <c r="C284" s="32" t="s">
        <v>428</v>
      </c>
      <c r="D284" s="32">
        <v>2020</v>
      </c>
      <c r="E284" s="32" t="s">
        <v>354</v>
      </c>
      <c r="F284" s="32" t="s">
        <v>321</v>
      </c>
      <c r="G284" s="32" t="s">
        <v>323</v>
      </c>
      <c r="H284" s="38">
        <v>1968</v>
      </c>
      <c r="I284" s="32" t="s">
        <v>429</v>
      </c>
      <c r="J284" s="32" t="s">
        <v>325</v>
      </c>
      <c r="K284" s="35"/>
      <c r="L284" s="35"/>
    </row>
    <row r="285" spans="1:12">
      <c r="A285" s="36" t="s">
        <v>13</v>
      </c>
      <c r="B285" s="39">
        <v>2021</v>
      </c>
      <c r="C285" s="32" t="s">
        <v>439</v>
      </c>
      <c r="D285" s="32">
        <v>2020</v>
      </c>
      <c r="E285" s="32" t="s">
        <v>354</v>
      </c>
      <c r="F285" s="32" t="s">
        <v>320</v>
      </c>
      <c r="G285" s="32" t="s">
        <v>323</v>
      </c>
      <c r="H285" s="38">
        <v>1965</v>
      </c>
      <c r="I285" s="32" t="s">
        <v>324</v>
      </c>
      <c r="J285" s="32" t="s">
        <v>325</v>
      </c>
      <c r="K285" s="35"/>
      <c r="L285" s="35"/>
    </row>
    <row r="286" spans="1:12">
      <c r="A286" s="36" t="s">
        <v>13</v>
      </c>
      <c r="B286" s="39">
        <v>2022</v>
      </c>
      <c r="C286" s="32" t="s">
        <v>428</v>
      </c>
      <c r="D286" s="32">
        <v>2020</v>
      </c>
      <c r="E286" s="32" t="s">
        <v>354</v>
      </c>
      <c r="F286" s="32" t="s">
        <v>321</v>
      </c>
      <c r="G286" s="32" t="s">
        <v>323</v>
      </c>
      <c r="H286" s="38">
        <v>1968</v>
      </c>
      <c r="I286" s="32" t="s">
        <v>429</v>
      </c>
      <c r="J286" s="32" t="s">
        <v>325</v>
      </c>
      <c r="K286" s="35"/>
      <c r="L286" s="35"/>
    </row>
    <row r="287" spans="1:12">
      <c r="A287" s="36" t="s">
        <v>13</v>
      </c>
      <c r="B287" s="39">
        <v>2022</v>
      </c>
      <c r="C287" s="32" t="s">
        <v>439</v>
      </c>
      <c r="D287" s="32">
        <v>2020</v>
      </c>
      <c r="E287" s="32" t="s">
        <v>354</v>
      </c>
      <c r="F287" s="32" t="s">
        <v>320</v>
      </c>
      <c r="G287" s="32" t="s">
        <v>323</v>
      </c>
      <c r="H287" s="38">
        <v>1965</v>
      </c>
      <c r="I287" s="32" t="s">
        <v>324</v>
      </c>
      <c r="J287" s="32" t="s">
        <v>325</v>
      </c>
      <c r="K287" s="35"/>
      <c r="L287" s="35"/>
    </row>
  </sheetData>
  <autoFilter ref="A1:L287" xr:uid="{CEC166A8-E408-354A-A279-F9C07CA9BEC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D67F-5CE7-794D-BBBE-756D01F0364B}">
  <sheetPr filterMode="1"/>
  <dimension ref="A1:N287"/>
  <sheetViews>
    <sheetView topLeftCell="E1" zoomScale="173" workbookViewId="0">
      <selection activeCell="O81" sqref="O81"/>
    </sheetView>
  </sheetViews>
  <sheetFormatPr baseColWidth="10" defaultRowHeight="16"/>
  <cols>
    <col min="9" max="9" width="15.1640625" customWidth="1"/>
  </cols>
  <sheetData>
    <row r="1" spans="1:14" ht="34">
      <c r="A1" s="37" t="s">
        <v>170</v>
      </c>
      <c r="B1" s="37" t="s">
        <v>309</v>
      </c>
      <c r="C1" s="31" t="s">
        <v>310</v>
      </c>
      <c r="D1" s="31" t="s">
        <v>311</v>
      </c>
      <c r="E1" s="31" t="s">
        <v>312</v>
      </c>
      <c r="F1" s="31" t="s">
        <v>313</v>
      </c>
      <c r="G1" s="31" t="s">
        <v>314</v>
      </c>
      <c r="H1" s="31" t="s">
        <v>315</v>
      </c>
      <c r="I1" s="31" t="s">
        <v>316</v>
      </c>
      <c r="J1" s="31" t="s">
        <v>317</v>
      </c>
      <c r="K1" s="31" t="s">
        <v>318</v>
      </c>
      <c r="L1" s="31" t="s">
        <v>319</v>
      </c>
      <c r="M1" s="52" t="s">
        <v>444</v>
      </c>
      <c r="N1" s="52" t="s">
        <v>445</v>
      </c>
    </row>
    <row r="2" spans="1:14" hidden="1">
      <c r="A2" s="35" t="s">
        <v>0</v>
      </c>
      <c r="B2" s="39">
        <v>2012</v>
      </c>
      <c r="C2" s="32" t="s">
        <v>322</v>
      </c>
      <c r="D2" s="32">
        <v>2009</v>
      </c>
      <c r="E2" s="32">
        <v>2013</v>
      </c>
      <c r="F2" s="32" t="s">
        <v>321</v>
      </c>
      <c r="G2" s="32" t="s">
        <v>323</v>
      </c>
      <c r="H2" s="38">
        <v>1957</v>
      </c>
      <c r="I2" s="32" t="s">
        <v>324</v>
      </c>
      <c r="J2" s="32" t="s">
        <v>325</v>
      </c>
      <c r="K2" s="32" t="s">
        <v>326</v>
      </c>
      <c r="L2" s="32" t="s">
        <v>327</v>
      </c>
      <c r="M2" s="50">
        <f>D2-H2</f>
        <v>52</v>
      </c>
      <c r="N2" s="50">
        <f>B2-H2</f>
        <v>55</v>
      </c>
    </row>
    <row r="3" spans="1:14" hidden="1">
      <c r="A3" s="35" t="s">
        <v>0</v>
      </c>
      <c r="B3" s="39">
        <v>2012</v>
      </c>
      <c r="C3" s="32" t="s">
        <v>328</v>
      </c>
      <c r="D3" s="32">
        <v>2011</v>
      </c>
      <c r="E3" s="32">
        <v>2015</v>
      </c>
      <c r="F3" s="32" t="s">
        <v>320</v>
      </c>
      <c r="G3" s="32" t="s">
        <v>323</v>
      </c>
      <c r="H3" s="38">
        <v>1962</v>
      </c>
      <c r="I3" s="32" t="s">
        <v>329</v>
      </c>
      <c r="J3" s="32" t="s">
        <v>325</v>
      </c>
      <c r="K3" s="32" t="s">
        <v>330</v>
      </c>
      <c r="L3" s="32" t="s">
        <v>331</v>
      </c>
      <c r="M3" s="50">
        <f t="shared" ref="M3:M66" si="0">D3-H3</f>
        <v>49</v>
      </c>
      <c r="N3" s="50">
        <f t="shared" ref="N3:N66" si="1">B3-H3</f>
        <v>50</v>
      </c>
    </row>
    <row r="4" spans="1:14" hidden="1">
      <c r="A4" s="35" t="s">
        <v>0</v>
      </c>
      <c r="B4" s="39">
        <v>2013</v>
      </c>
      <c r="C4" s="32" t="s">
        <v>322</v>
      </c>
      <c r="D4" s="32">
        <v>2009</v>
      </c>
      <c r="E4" s="32">
        <v>2013</v>
      </c>
      <c r="F4" s="32" t="s">
        <v>321</v>
      </c>
      <c r="G4" s="32" t="s">
        <v>323</v>
      </c>
      <c r="H4" s="38">
        <v>1957</v>
      </c>
      <c r="I4" s="32" t="s">
        <v>324</v>
      </c>
      <c r="J4" s="32" t="s">
        <v>325</v>
      </c>
      <c r="K4" s="32" t="s">
        <v>326</v>
      </c>
      <c r="L4" s="32" t="s">
        <v>327</v>
      </c>
      <c r="M4" s="50">
        <f t="shared" si="0"/>
        <v>52</v>
      </c>
      <c r="N4" s="50">
        <f t="shared" si="1"/>
        <v>56</v>
      </c>
    </row>
    <row r="5" spans="1:14" hidden="1">
      <c r="A5" s="35" t="s">
        <v>0</v>
      </c>
      <c r="B5" s="39">
        <v>2013</v>
      </c>
      <c r="C5" s="32" t="s">
        <v>328</v>
      </c>
      <c r="D5" s="32">
        <v>2011</v>
      </c>
      <c r="E5" s="32">
        <v>2015</v>
      </c>
      <c r="F5" s="32" t="s">
        <v>320</v>
      </c>
      <c r="G5" s="32" t="s">
        <v>323</v>
      </c>
      <c r="H5" s="38">
        <v>1962</v>
      </c>
      <c r="I5" s="32" t="s">
        <v>329</v>
      </c>
      <c r="J5" s="32" t="s">
        <v>325</v>
      </c>
      <c r="K5" s="32" t="s">
        <v>330</v>
      </c>
      <c r="L5" s="32" t="s">
        <v>331</v>
      </c>
      <c r="M5" s="50">
        <f t="shared" si="0"/>
        <v>49</v>
      </c>
      <c r="N5" s="50">
        <f t="shared" si="1"/>
        <v>51</v>
      </c>
    </row>
    <row r="6" spans="1:14" hidden="1">
      <c r="A6" s="35" t="s">
        <v>0</v>
      </c>
      <c r="B6" s="39">
        <v>2014</v>
      </c>
      <c r="C6" s="32" t="s">
        <v>326</v>
      </c>
      <c r="D6" s="32">
        <v>2013</v>
      </c>
      <c r="E6" s="32">
        <v>2018</v>
      </c>
      <c r="F6" s="32" t="s">
        <v>321</v>
      </c>
      <c r="G6" s="32" t="s">
        <v>323</v>
      </c>
      <c r="H6" s="38">
        <v>1964</v>
      </c>
      <c r="I6" s="32" t="s">
        <v>327</v>
      </c>
      <c r="J6" s="32" t="s">
        <v>325</v>
      </c>
      <c r="K6" s="32" t="s">
        <v>333</v>
      </c>
      <c r="L6" s="32" t="s">
        <v>334</v>
      </c>
      <c r="M6" s="50">
        <f t="shared" si="0"/>
        <v>49</v>
      </c>
      <c r="N6" s="50">
        <f t="shared" si="1"/>
        <v>50</v>
      </c>
    </row>
    <row r="7" spans="1:14" hidden="1">
      <c r="A7" s="35" t="s">
        <v>0</v>
      </c>
      <c r="B7" s="39">
        <v>2014</v>
      </c>
      <c r="C7" s="32" t="s">
        <v>328</v>
      </c>
      <c r="D7" s="32">
        <v>2011</v>
      </c>
      <c r="E7" s="32">
        <v>2015</v>
      </c>
      <c r="F7" s="32" t="s">
        <v>320</v>
      </c>
      <c r="G7" s="32" t="s">
        <v>323</v>
      </c>
      <c r="H7" s="38">
        <v>1962</v>
      </c>
      <c r="I7" s="32" t="s">
        <v>329</v>
      </c>
      <c r="J7" s="32" t="s">
        <v>325</v>
      </c>
      <c r="K7" s="32" t="s">
        <v>330</v>
      </c>
      <c r="L7" s="32" t="s">
        <v>331</v>
      </c>
      <c r="M7" s="50">
        <f t="shared" si="0"/>
        <v>49</v>
      </c>
      <c r="N7" s="50">
        <f t="shared" si="1"/>
        <v>52</v>
      </c>
    </row>
    <row r="8" spans="1:14" hidden="1">
      <c r="A8" s="36" t="s">
        <v>0</v>
      </c>
      <c r="B8" s="39">
        <v>2015</v>
      </c>
      <c r="C8" s="32" t="s">
        <v>326</v>
      </c>
      <c r="D8" s="32">
        <v>2013</v>
      </c>
      <c r="E8" s="32">
        <v>2018</v>
      </c>
      <c r="F8" s="32" t="s">
        <v>321</v>
      </c>
      <c r="G8" s="32" t="s">
        <v>323</v>
      </c>
      <c r="H8" s="38">
        <v>1964</v>
      </c>
      <c r="I8" s="32" t="s">
        <v>327</v>
      </c>
      <c r="J8" s="32" t="s">
        <v>325</v>
      </c>
      <c r="K8" s="32" t="s">
        <v>333</v>
      </c>
      <c r="L8" s="32" t="s">
        <v>334</v>
      </c>
      <c r="M8" s="50">
        <f t="shared" si="0"/>
        <v>49</v>
      </c>
      <c r="N8" s="50">
        <f t="shared" si="1"/>
        <v>51</v>
      </c>
    </row>
    <row r="9" spans="1:14" hidden="1">
      <c r="A9" s="36" t="s">
        <v>0</v>
      </c>
      <c r="B9" s="39">
        <v>2015</v>
      </c>
      <c r="C9" s="32" t="s">
        <v>330</v>
      </c>
      <c r="D9" s="32">
        <v>2015</v>
      </c>
      <c r="E9" s="32">
        <v>2016</v>
      </c>
      <c r="F9" s="32" t="s">
        <v>320</v>
      </c>
      <c r="G9" s="32" t="s">
        <v>335</v>
      </c>
      <c r="H9" s="38">
        <v>1962</v>
      </c>
      <c r="I9" s="32" t="s">
        <v>331</v>
      </c>
      <c r="J9" s="32" t="s">
        <v>325</v>
      </c>
      <c r="K9" s="32" t="s">
        <v>336</v>
      </c>
      <c r="L9" s="32" t="s">
        <v>332</v>
      </c>
      <c r="M9" s="50">
        <f t="shared" si="0"/>
        <v>53</v>
      </c>
      <c r="N9" s="50">
        <f t="shared" si="1"/>
        <v>53</v>
      </c>
    </row>
    <row r="10" spans="1:14" hidden="1">
      <c r="A10" s="36" t="s">
        <v>0</v>
      </c>
      <c r="B10" s="39">
        <v>2016</v>
      </c>
      <c r="C10" s="32" t="s">
        <v>326</v>
      </c>
      <c r="D10" s="32">
        <v>2013</v>
      </c>
      <c r="E10" s="32">
        <v>2018</v>
      </c>
      <c r="F10" s="32" t="s">
        <v>321</v>
      </c>
      <c r="G10" s="32" t="s">
        <v>323</v>
      </c>
      <c r="H10" s="38">
        <v>1964</v>
      </c>
      <c r="I10" s="32" t="s">
        <v>327</v>
      </c>
      <c r="J10" s="32" t="s">
        <v>325</v>
      </c>
      <c r="K10" s="32" t="s">
        <v>333</v>
      </c>
      <c r="L10" s="32" t="s">
        <v>334</v>
      </c>
      <c r="M10" s="50">
        <f t="shared" si="0"/>
        <v>49</v>
      </c>
      <c r="N10" s="50">
        <f t="shared" si="1"/>
        <v>52</v>
      </c>
    </row>
    <row r="11" spans="1:14" hidden="1">
      <c r="A11" s="36" t="s">
        <v>0</v>
      </c>
      <c r="B11" s="39">
        <v>2016</v>
      </c>
      <c r="C11" s="32" t="s">
        <v>330</v>
      </c>
      <c r="D11" s="32">
        <v>2015</v>
      </c>
      <c r="E11" s="32">
        <v>2016</v>
      </c>
      <c r="F11" s="32" t="s">
        <v>320</v>
      </c>
      <c r="G11" s="32" t="s">
        <v>335</v>
      </c>
      <c r="H11" s="38">
        <v>1962</v>
      </c>
      <c r="I11" s="32" t="s">
        <v>331</v>
      </c>
      <c r="J11" s="32" t="s">
        <v>325</v>
      </c>
      <c r="K11" s="32" t="s">
        <v>336</v>
      </c>
      <c r="L11" s="32" t="s">
        <v>332</v>
      </c>
      <c r="M11" s="50">
        <f t="shared" si="0"/>
        <v>53</v>
      </c>
      <c r="N11" s="50">
        <f t="shared" si="1"/>
        <v>54</v>
      </c>
    </row>
    <row r="12" spans="1:14" hidden="1">
      <c r="A12" s="36" t="s">
        <v>0</v>
      </c>
      <c r="B12" s="39">
        <v>2017</v>
      </c>
      <c r="C12" s="32" t="s">
        <v>326</v>
      </c>
      <c r="D12" s="32">
        <v>2013</v>
      </c>
      <c r="E12" s="32">
        <v>2018</v>
      </c>
      <c r="F12" s="32" t="s">
        <v>321</v>
      </c>
      <c r="G12" s="32" t="s">
        <v>323</v>
      </c>
      <c r="H12" s="38">
        <v>1964</v>
      </c>
      <c r="I12" s="32" t="s">
        <v>327</v>
      </c>
      <c r="J12" s="32" t="s">
        <v>325</v>
      </c>
      <c r="K12" s="32" t="s">
        <v>333</v>
      </c>
      <c r="L12" s="32" t="s">
        <v>334</v>
      </c>
      <c r="M12" s="50">
        <f t="shared" si="0"/>
        <v>49</v>
      </c>
      <c r="N12" s="50">
        <f t="shared" si="1"/>
        <v>53</v>
      </c>
    </row>
    <row r="13" spans="1:14" hidden="1">
      <c r="A13" s="36" t="s">
        <v>0</v>
      </c>
      <c r="B13" s="39">
        <v>2017</v>
      </c>
      <c r="C13" s="32" t="s">
        <v>336</v>
      </c>
      <c r="D13" s="32">
        <v>2016</v>
      </c>
      <c r="E13" s="32">
        <v>2017</v>
      </c>
      <c r="F13" s="32" t="s">
        <v>320</v>
      </c>
      <c r="G13" s="32" t="s">
        <v>323</v>
      </c>
      <c r="H13" s="38">
        <v>1964</v>
      </c>
      <c r="I13" s="32" t="s">
        <v>332</v>
      </c>
      <c r="J13" s="32" t="s">
        <v>340</v>
      </c>
      <c r="K13" s="32" t="s">
        <v>341</v>
      </c>
      <c r="L13" s="32" t="s">
        <v>342</v>
      </c>
      <c r="M13" s="50">
        <f t="shared" si="0"/>
        <v>52</v>
      </c>
      <c r="N13" s="50">
        <f t="shared" si="1"/>
        <v>53</v>
      </c>
    </row>
    <row r="14" spans="1:14" hidden="1">
      <c r="A14" s="36" t="s">
        <v>0</v>
      </c>
      <c r="B14" s="39">
        <v>2018</v>
      </c>
      <c r="C14" s="51" t="s">
        <v>333</v>
      </c>
      <c r="D14" s="32">
        <v>2018</v>
      </c>
      <c r="E14" s="32">
        <v>2019</v>
      </c>
      <c r="F14" s="32" t="s">
        <v>321</v>
      </c>
      <c r="G14" s="32" t="s">
        <v>323</v>
      </c>
      <c r="H14" s="38">
        <v>1964</v>
      </c>
      <c r="I14" s="32" t="s">
        <v>334</v>
      </c>
      <c r="J14" s="32" t="s">
        <v>325</v>
      </c>
      <c r="K14" s="32" t="s">
        <v>337</v>
      </c>
      <c r="L14" s="32" t="s">
        <v>329</v>
      </c>
      <c r="M14" s="50">
        <f t="shared" si="0"/>
        <v>54</v>
      </c>
      <c r="N14" s="50">
        <f t="shared" si="1"/>
        <v>54</v>
      </c>
    </row>
    <row r="15" spans="1:14" hidden="1">
      <c r="A15" s="36" t="s">
        <v>0</v>
      </c>
      <c r="B15" s="39">
        <v>2018</v>
      </c>
      <c r="C15" s="32" t="s">
        <v>341</v>
      </c>
      <c r="D15" s="32">
        <v>2017</v>
      </c>
      <c r="E15" s="32">
        <v>2021</v>
      </c>
      <c r="F15" s="32" t="s">
        <v>320</v>
      </c>
      <c r="G15" s="32" t="s">
        <v>323</v>
      </c>
      <c r="H15" s="38">
        <v>1962</v>
      </c>
      <c r="I15" s="32" t="s">
        <v>342</v>
      </c>
      <c r="J15" s="32" t="s">
        <v>340</v>
      </c>
      <c r="K15" s="32" t="s">
        <v>337</v>
      </c>
      <c r="L15" s="32" t="s">
        <v>329</v>
      </c>
      <c r="M15" s="50">
        <f t="shared" si="0"/>
        <v>55</v>
      </c>
      <c r="N15" s="50">
        <f t="shared" si="1"/>
        <v>56</v>
      </c>
    </row>
    <row r="16" spans="1:14" hidden="1">
      <c r="A16" s="36" t="s">
        <v>0</v>
      </c>
      <c r="B16" s="39">
        <v>2019</v>
      </c>
      <c r="C16" s="32" t="s">
        <v>333</v>
      </c>
      <c r="D16" s="32">
        <v>2018</v>
      </c>
      <c r="E16" s="32">
        <v>2019</v>
      </c>
      <c r="F16" s="32" t="s">
        <v>321</v>
      </c>
      <c r="G16" s="32" t="s">
        <v>323</v>
      </c>
      <c r="H16" s="38">
        <v>1964</v>
      </c>
      <c r="I16" s="32" t="s">
        <v>334</v>
      </c>
      <c r="J16" s="32" t="s">
        <v>325</v>
      </c>
      <c r="K16" s="32" t="s">
        <v>337</v>
      </c>
      <c r="L16" s="32" t="s">
        <v>329</v>
      </c>
      <c r="M16" s="50">
        <f t="shared" si="0"/>
        <v>54</v>
      </c>
      <c r="N16" s="50">
        <f t="shared" si="1"/>
        <v>55</v>
      </c>
    </row>
    <row r="17" spans="1:14" hidden="1">
      <c r="A17" s="36" t="s">
        <v>0</v>
      </c>
      <c r="B17" s="39">
        <v>2019</v>
      </c>
      <c r="C17" s="32" t="s">
        <v>341</v>
      </c>
      <c r="D17" s="32">
        <v>2017</v>
      </c>
      <c r="E17" s="32">
        <v>2021</v>
      </c>
      <c r="F17" s="32" t="s">
        <v>320</v>
      </c>
      <c r="G17" s="32" t="s">
        <v>323</v>
      </c>
      <c r="H17" s="38">
        <v>1962</v>
      </c>
      <c r="I17" s="32" t="s">
        <v>342</v>
      </c>
      <c r="J17" s="32" t="s">
        <v>340</v>
      </c>
      <c r="K17" s="32" t="s">
        <v>337</v>
      </c>
      <c r="L17" s="32" t="s">
        <v>329</v>
      </c>
      <c r="M17" s="50">
        <f t="shared" si="0"/>
        <v>55</v>
      </c>
      <c r="N17" s="50">
        <f t="shared" si="1"/>
        <v>57</v>
      </c>
    </row>
    <row r="18" spans="1:14" hidden="1">
      <c r="A18" s="36" t="s">
        <v>0</v>
      </c>
      <c r="B18" s="39">
        <v>2020</v>
      </c>
      <c r="C18" s="32" t="s">
        <v>337</v>
      </c>
      <c r="D18" s="32">
        <v>2019</v>
      </c>
      <c r="E18" s="32">
        <v>2021</v>
      </c>
      <c r="F18" s="32" t="s">
        <v>321</v>
      </c>
      <c r="G18" s="32" t="s">
        <v>335</v>
      </c>
      <c r="H18" s="38">
        <v>1964</v>
      </c>
      <c r="I18" s="32" t="s">
        <v>329</v>
      </c>
      <c r="J18" s="32" t="s">
        <v>325</v>
      </c>
      <c r="K18" s="32" t="s">
        <v>338</v>
      </c>
      <c r="L18" s="32" t="s">
        <v>339</v>
      </c>
      <c r="M18" s="50">
        <f t="shared" si="0"/>
        <v>55</v>
      </c>
      <c r="N18" s="50">
        <f t="shared" si="1"/>
        <v>56</v>
      </c>
    </row>
    <row r="19" spans="1:14" hidden="1">
      <c r="A19" s="36" t="s">
        <v>0</v>
      </c>
      <c r="B19" s="39">
        <v>2020</v>
      </c>
      <c r="C19" s="32" t="s">
        <v>341</v>
      </c>
      <c r="D19" s="32">
        <v>2017</v>
      </c>
      <c r="E19" s="32">
        <v>2021</v>
      </c>
      <c r="F19" s="32" t="s">
        <v>320</v>
      </c>
      <c r="G19" s="32" t="s">
        <v>323</v>
      </c>
      <c r="H19" s="38">
        <v>1962</v>
      </c>
      <c r="I19" s="32" t="s">
        <v>342</v>
      </c>
      <c r="J19" s="32" t="s">
        <v>340</v>
      </c>
      <c r="K19" s="32" t="s">
        <v>337</v>
      </c>
      <c r="L19" s="32" t="s">
        <v>329</v>
      </c>
      <c r="M19" s="50">
        <f t="shared" si="0"/>
        <v>55</v>
      </c>
      <c r="N19" s="50">
        <f t="shared" si="1"/>
        <v>58</v>
      </c>
    </row>
    <row r="20" spans="1:14" hidden="1">
      <c r="A20" s="36" t="s">
        <v>0</v>
      </c>
      <c r="B20" s="39">
        <v>2021</v>
      </c>
      <c r="C20" s="32" t="s">
        <v>337</v>
      </c>
      <c r="D20" s="32">
        <v>2019</v>
      </c>
      <c r="E20" s="32">
        <v>2021</v>
      </c>
      <c r="F20" s="32" t="s">
        <v>321</v>
      </c>
      <c r="G20" s="32" t="s">
        <v>335</v>
      </c>
      <c r="H20" s="38">
        <v>1964</v>
      </c>
      <c r="I20" s="32" t="s">
        <v>329</v>
      </c>
      <c r="J20" s="32" t="s">
        <v>325</v>
      </c>
      <c r="K20" s="32" t="s">
        <v>338</v>
      </c>
      <c r="L20" s="32" t="s">
        <v>339</v>
      </c>
      <c r="M20" s="50">
        <f t="shared" si="0"/>
        <v>55</v>
      </c>
      <c r="N20" s="50">
        <f t="shared" si="1"/>
        <v>57</v>
      </c>
    </row>
    <row r="21" spans="1:14" hidden="1">
      <c r="A21" s="36" t="s">
        <v>0</v>
      </c>
      <c r="B21" s="39">
        <v>2021</v>
      </c>
      <c r="C21" s="41" t="s">
        <v>337</v>
      </c>
      <c r="D21" s="42">
        <v>2018</v>
      </c>
      <c r="E21" s="42">
        <v>2024</v>
      </c>
      <c r="F21" s="42" t="s">
        <v>320</v>
      </c>
      <c r="G21" s="42" t="s">
        <v>335</v>
      </c>
      <c r="H21" s="43">
        <v>1964</v>
      </c>
      <c r="I21" s="42" t="s">
        <v>329</v>
      </c>
      <c r="J21" s="42" t="s">
        <v>325</v>
      </c>
      <c r="K21" s="42"/>
      <c r="L21" s="42"/>
      <c r="M21" s="50">
        <f t="shared" si="0"/>
        <v>54</v>
      </c>
      <c r="N21" s="50">
        <f t="shared" si="1"/>
        <v>57</v>
      </c>
    </row>
    <row r="22" spans="1:14" hidden="1">
      <c r="A22" s="36" t="s">
        <v>0</v>
      </c>
      <c r="B22" s="39">
        <v>2022</v>
      </c>
      <c r="C22" s="35" t="s">
        <v>338</v>
      </c>
      <c r="D22" s="48">
        <v>2022</v>
      </c>
      <c r="E22" s="48">
        <v>2023</v>
      </c>
      <c r="F22" s="48" t="s">
        <v>321</v>
      </c>
      <c r="G22" s="48" t="s">
        <v>323</v>
      </c>
      <c r="H22" s="47">
        <v>1965</v>
      </c>
      <c r="I22" s="48" t="s">
        <v>339</v>
      </c>
      <c r="J22" s="48" t="s">
        <v>325</v>
      </c>
      <c r="K22" s="35"/>
      <c r="L22" s="35"/>
      <c r="M22" s="50">
        <f t="shared" si="0"/>
        <v>57</v>
      </c>
      <c r="N22" s="50">
        <f t="shared" si="1"/>
        <v>57</v>
      </c>
    </row>
    <row r="23" spans="1:14" hidden="1">
      <c r="A23" s="36" t="s">
        <v>0</v>
      </c>
      <c r="B23" s="39">
        <v>2022</v>
      </c>
      <c r="C23" s="41" t="s">
        <v>337</v>
      </c>
      <c r="D23" s="42">
        <v>2018</v>
      </c>
      <c r="E23" s="42">
        <v>2024</v>
      </c>
      <c r="F23" s="42" t="s">
        <v>320</v>
      </c>
      <c r="G23" s="42" t="s">
        <v>335</v>
      </c>
      <c r="H23" s="43">
        <v>1964</v>
      </c>
      <c r="I23" s="42" t="s">
        <v>329</v>
      </c>
      <c r="J23" s="42" t="s">
        <v>325</v>
      </c>
      <c r="K23" s="42"/>
      <c r="L23" s="42"/>
      <c r="M23" s="50">
        <f t="shared" si="0"/>
        <v>54</v>
      </c>
      <c r="N23" s="50">
        <f t="shared" si="1"/>
        <v>58</v>
      </c>
    </row>
    <row r="24" spans="1:14" hidden="1">
      <c r="A24" s="35" t="s">
        <v>2</v>
      </c>
      <c r="B24" s="39">
        <v>2012</v>
      </c>
      <c r="C24" s="32" t="s">
        <v>343</v>
      </c>
      <c r="D24" s="32">
        <v>2011</v>
      </c>
      <c r="E24" s="32">
        <v>2016</v>
      </c>
      <c r="F24" s="32" t="s">
        <v>321</v>
      </c>
      <c r="G24" s="32" t="s">
        <v>323</v>
      </c>
      <c r="H24" s="38">
        <v>1964</v>
      </c>
      <c r="I24" s="32" t="s">
        <v>324</v>
      </c>
      <c r="J24" s="32" t="s">
        <v>340</v>
      </c>
      <c r="K24" s="32" t="s">
        <v>337</v>
      </c>
      <c r="L24" s="32" t="s">
        <v>329</v>
      </c>
      <c r="M24" s="50">
        <f t="shared" si="0"/>
        <v>47</v>
      </c>
      <c r="N24" s="50">
        <f t="shared" si="1"/>
        <v>48</v>
      </c>
    </row>
    <row r="25" spans="1:14" hidden="1">
      <c r="A25" s="35" t="s">
        <v>2</v>
      </c>
      <c r="B25" s="39">
        <v>2012</v>
      </c>
      <c r="C25" s="32" t="s">
        <v>349</v>
      </c>
      <c r="D25" s="32">
        <v>2011</v>
      </c>
      <c r="E25" s="32">
        <v>2016</v>
      </c>
      <c r="F25" s="32" t="s">
        <v>320</v>
      </c>
      <c r="G25" s="32" t="s">
        <v>323</v>
      </c>
      <c r="H25" s="38">
        <v>1955</v>
      </c>
      <c r="I25" s="32" t="s">
        <v>350</v>
      </c>
      <c r="J25" s="32" t="s">
        <v>325</v>
      </c>
      <c r="K25" s="32" t="s">
        <v>351</v>
      </c>
      <c r="L25" s="32" t="s">
        <v>352</v>
      </c>
      <c r="M25" s="50">
        <f t="shared" si="0"/>
        <v>56</v>
      </c>
      <c r="N25" s="50">
        <f t="shared" si="1"/>
        <v>57</v>
      </c>
    </row>
    <row r="26" spans="1:14" hidden="1">
      <c r="A26" s="35" t="s">
        <v>2</v>
      </c>
      <c r="B26" s="39">
        <v>2013</v>
      </c>
      <c r="C26" s="32" t="s">
        <v>343</v>
      </c>
      <c r="D26" s="32">
        <v>2011</v>
      </c>
      <c r="E26" s="32">
        <v>2016</v>
      </c>
      <c r="F26" s="32" t="s">
        <v>321</v>
      </c>
      <c r="G26" s="32" t="s">
        <v>323</v>
      </c>
      <c r="H26" s="38">
        <v>1964</v>
      </c>
      <c r="I26" s="32" t="s">
        <v>324</v>
      </c>
      <c r="J26" s="32" t="s">
        <v>340</v>
      </c>
      <c r="K26" s="32" t="s">
        <v>337</v>
      </c>
      <c r="L26" s="32" t="s">
        <v>329</v>
      </c>
      <c r="M26" s="50">
        <f t="shared" si="0"/>
        <v>47</v>
      </c>
      <c r="N26" s="50">
        <f t="shared" si="1"/>
        <v>49</v>
      </c>
    </row>
    <row r="27" spans="1:14" hidden="1">
      <c r="A27" s="35" t="s">
        <v>2</v>
      </c>
      <c r="B27" s="39">
        <v>2013</v>
      </c>
      <c r="C27" s="32" t="s">
        <v>349</v>
      </c>
      <c r="D27" s="32">
        <v>2011</v>
      </c>
      <c r="E27" s="32">
        <v>2016</v>
      </c>
      <c r="F27" s="32" t="s">
        <v>320</v>
      </c>
      <c r="G27" s="32" t="s">
        <v>323</v>
      </c>
      <c r="H27" s="38">
        <v>1955</v>
      </c>
      <c r="I27" s="32" t="s">
        <v>350</v>
      </c>
      <c r="J27" s="32" t="s">
        <v>325</v>
      </c>
      <c r="K27" s="32" t="s">
        <v>351</v>
      </c>
      <c r="L27" s="32" t="s">
        <v>352</v>
      </c>
      <c r="M27" s="50">
        <f t="shared" si="0"/>
        <v>56</v>
      </c>
      <c r="N27" s="50">
        <f t="shared" si="1"/>
        <v>58</v>
      </c>
    </row>
    <row r="28" spans="1:14" hidden="1">
      <c r="A28" s="35" t="s">
        <v>2</v>
      </c>
      <c r="B28" s="39">
        <v>2014</v>
      </c>
      <c r="C28" s="32" t="s">
        <v>343</v>
      </c>
      <c r="D28" s="32">
        <v>2011</v>
      </c>
      <c r="E28" s="32">
        <v>2016</v>
      </c>
      <c r="F28" s="32" t="s">
        <v>321</v>
      </c>
      <c r="G28" s="32" t="s">
        <v>323</v>
      </c>
      <c r="H28" s="38">
        <v>1964</v>
      </c>
      <c r="I28" s="32" t="s">
        <v>324</v>
      </c>
      <c r="J28" s="32" t="s">
        <v>340</v>
      </c>
      <c r="K28" s="32" t="s">
        <v>337</v>
      </c>
      <c r="L28" s="32" t="s">
        <v>329</v>
      </c>
      <c r="M28" s="50">
        <f t="shared" si="0"/>
        <v>47</v>
      </c>
      <c r="N28" s="50">
        <f t="shared" si="1"/>
        <v>50</v>
      </c>
    </row>
    <row r="29" spans="1:14" hidden="1">
      <c r="A29" s="35" t="s">
        <v>2</v>
      </c>
      <c r="B29" s="39">
        <v>2014</v>
      </c>
      <c r="C29" s="32" t="s">
        <v>349</v>
      </c>
      <c r="D29" s="32">
        <v>2011</v>
      </c>
      <c r="E29" s="32">
        <v>2016</v>
      </c>
      <c r="F29" s="32" t="s">
        <v>320</v>
      </c>
      <c r="G29" s="32" t="s">
        <v>323</v>
      </c>
      <c r="H29" s="38">
        <v>1955</v>
      </c>
      <c r="I29" s="32" t="s">
        <v>350</v>
      </c>
      <c r="J29" s="32" t="s">
        <v>325</v>
      </c>
      <c r="K29" s="32" t="s">
        <v>351</v>
      </c>
      <c r="L29" s="32" t="s">
        <v>352</v>
      </c>
      <c r="M29" s="50">
        <f t="shared" si="0"/>
        <v>56</v>
      </c>
      <c r="N29" s="50">
        <f t="shared" si="1"/>
        <v>59</v>
      </c>
    </row>
    <row r="30" spans="1:14" hidden="1">
      <c r="A30" s="36" t="s">
        <v>2</v>
      </c>
      <c r="B30" s="39">
        <v>2015</v>
      </c>
      <c r="C30" s="32" t="s">
        <v>343</v>
      </c>
      <c r="D30" s="32">
        <v>2011</v>
      </c>
      <c r="E30" s="32">
        <v>2016</v>
      </c>
      <c r="F30" s="32" t="s">
        <v>321</v>
      </c>
      <c r="G30" s="32" t="s">
        <v>323</v>
      </c>
      <c r="H30" s="38">
        <v>1964</v>
      </c>
      <c r="I30" s="32" t="s">
        <v>324</v>
      </c>
      <c r="J30" s="32" t="s">
        <v>340</v>
      </c>
      <c r="K30" s="32" t="s">
        <v>337</v>
      </c>
      <c r="L30" s="32" t="s">
        <v>329</v>
      </c>
      <c r="M30" s="50">
        <f t="shared" si="0"/>
        <v>47</v>
      </c>
      <c r="N30" s="50">
        <f t="shared" si="1"/>
        <v>51</v>
      </c>
    </row>
    <row r="31" spans="1:14" hidden="1">
      <c r="A31" s="36" t="s">
        <v>2</v>
      </c>
      <c r="B31" s="39">
        <v>2015</v>
      </c>
      <c r="C31" s="32" t="s">
        <v>349</v>
      </c>
      <c r="D31" s="32">
        <v>2011</v>
      </c>
      <c r="E31" s="32">
        <v>2016</v>
      </c>
      <c r="F31" s="32" t="s">
        <v>320</v>
      </c>
      <c r="G31" s="32" t="s">
        <v>323</v>
      </c>
      <c r="H31" s="38">
        <v>1955</v>
      </c>
      <c r="I31" s="32" t="s">
        <v>350</v>
      </c>
      <c r="J31" s="32" t="s">
        <v>325</v>
      </c>
      <c r="K31" s="32" t="s">
        <v>351</v>
      </c>
      <c r="L31" s="32" t="s">
        <v>352</v>
      </c>
      <c r="M31" s="50">
        <f t="shared" si="0"/>
        <v>56</v>
      </c>
      <c r="N31" s="50">
        <f t="shared" si="1"/>
        <v>60</v>
      </c>
    </row>
    <row r="32" spans="1:14" hidden="1">
      <c r="A32" s="36" t="s">
        <v>2</v>
      </c>
      <c r="B32" s="39">
        <v>2016</v>
      </c>
      <c r="C32" s="32" t="s">
        <v>337</v>
      </c>
      <c r="D32" s="32">
        <v>2016</v>
      </c>
      <c r="E32" s="32">
        <v>2018</v>
      </c>
      <c r="F32" s="32" t="s">
        <v>321</v>
      </c>
      <c r="G32" s="32" t="s">
        <v>335</v>
      </c>
      <c r="H32" s="38">
        <v>1964</v>
      </c>
      <c r="I32" s="32" t="s">
        <v>329</v>
      </c>
      <c r="J32" s="32" t="s">
        <v>325</v>
      </c>
      <c r="K32" s="32" t="s">
        <v>344</v>
      </c>
      <c r="L32" s="32" t="s">
        <v>324</v>
      </c>
      <c r="M32" s="50">
        <f t="shared" si="0"/>
        <v>52</v>
      </c>
      <c r="N32" s="50">
        <f t="shared" si="1"/>
        <v>52</v>
      </c>
    </row>
    <row r="33" spans="1:14" hidden="1">
      <c r="A33" s="36" t="s">
        <v>2</v>
      </c>
      <c r="B33" s="39">
        <v>2016</v>
      </c>
      <c r="C33" s="32" t="s">
        <v>351</v>
      </c>
      <c r="D33" s="32">
        <v>2016</v>
      </c>
      <c r="E33" s="32">
        <v>2019</v>
      </c>
      <c r="F33" s="32" t="s">
        <v>320</v>
      </c>
      <c r="G33" s="32" t="s">
        <v>323</v>
      </c>
      <c r="H33" s="38">
        <v>1964</v>
      </c>
      <c r="I33" s="32" t="s">
        <v>352</v>
      </c>
      <c r="J33" s="32" t="s">
        <v>325</v>
      </c>
      <c r="K33" s="32" t="s">
        <v>344</v>
      </c>
      <c r="L33" s="32" t="s">
        <v>324</v>
      </c>
      <c r="M33" s="50">
        <f t="shared" si="0"/>
        <v>52</v>
      </c>
      <c r="N33" s="50">
        <f t="shared" si="1"/>
        <v>52</v>
      </c>
    </row>
    <row r="34" spans="1:14" hidden="1">
      <c r="A34" s="36" t="s">
        <v>2</v>
      </c>
      <c r="B34" s="39">
        <v>2017</v>
      </c>
      <c r="C34" s="32" t="s">
        <v>337</v>
      </c>
      <c r="D34" s="32">
        <v>2016</v>
      </c>
      <c r="E34" s="32">
        <v>2018</v>
      </c>
      <c r="F34" s="32" t="s">
        <v>321</v>
      </c>
      <c r="G34" s="32" t="s">
        <v>335</v>
      </c>
      <c r="H34" s="38">
        <v>1964</v>
      </c>
      <c r="I34" s="32" t="s">
        <v>329</v>
      </c>
      <c r="J34" s="32" t="s">
        <v>325</v>
      </c>
      <c r="K34" s="32" t="s">
        <v>344</v>
      </c>
      <c r="L34" s="32" t="s">
        <v>324</v>
      </c>
      <c r="M34" s="50">
        <f t="shared" si="0"/>
        <v>52</v>
      </c>
      <c r="N34" s="50">
        <f t="shared" si="1"/>
        <v>53</v>
      </c>
    </row>
    <row r="35" spans="1:14" hidden="1">
      <c r="A35" s="36" t="s">
        <v>2</v>
      </c>
      <c r="B35" s="39">
        <v>2017</v>
      </c>
      <c r="C35" s="32" t="s">
        <v>351</v>
      </c>
      <c r="D35" s="32">
        <v>2016</v>
      </c>
      <c r="E35" s="32">
        <v>2019</v>
      </c>
      <c r="F35" s="32" t="s">
        <v>320</v>
      </c>
      <c r="G35" s="32" t="s">
        <v>323</v>
      </c>
      <c r="H35" s="38">
        <v>1964</v>
      </c>
      <c r="I35" s="32" t="s">
        <v>352</v>
      </c>
      <c r="J35" s="32" t="s">
        <v>325</v>
      </c>
      <c r="K35" s="32" t="s">
        <v>344</v>
      </c>
      <c r="L35" s="32" t="s">
        <v>324</v>
      </c>
      <c r="M35" s="50">
        <f t="shared" si="0"/>
        <v>52</v>
      </c>
      <c r="N35" s="50">
        <f t="shared" si="1"/>
        <v>53</v>
      </c>
    </row>
    <row r="36" spans="1:14" hidden="1">
      <c r="A36" s="36" t="s">
        <v>2</v>
      </c>
      <c r="B36" s="39">
        <v>2018</v>
      </c>
      <c r="C36" s="32" t="s">
        <v>344</v>
      </c>
      <c r="D36" s="32">
        <v>2018</v>
      </c>
      <c r="E36" s="32">
        <v>2019</v>
      </c>
      <c r="F36" s="32" t="s">
        <v>321</v>
      </c>
      <c r="G36" s="32" t="s">
        <v>323</v>
      </c>
      <c r="H36" s="38">
        <v>1963</v>
      </c>
      <c r="I36" s="32" t="s">
        <v>324</v>
      </c>
      <c r="J36" s="32" t="s">
        <v>325</v>
      </c>
      <c r="K36" s="32" t="s">
        <v>345</v>
      </c>
      <c r="L36" s="32" t="s">
        <v>346</v>
      </c>
      <c r="M36" s="50">
        <f t="shared" si="0"/>
        <v>55</v>
      </c>
      <c r="N36" s="50">
        <f t="shared" si="1"/>
        <v>55</v>
      </c>
    </row>
    <row r="37" spans="1:14" hidden="1">
      <c r="A37" s="36" t="s">
        <v>2</v>
      </c>
      <c r="B37" s="39">
        <v>2018</v>
      </c>
      <c r="C37" s="32" t="s">
        <v>351</v>
      </c>
      <c r="D37" s="32">
        <v>2016</v>
      </c>
      <c r="E37" s="32">
        <v>2019</v>
      </c>
      <c r="F37" s="32" t="s">
        <v>320</v>
      </c>
      <c r="G37" s="32" t="s">
        <v>323</v>
      </c>
      <c r="H37" s="38">
        <v>1964</v>
      </c>
      <c r="I37" s="32" t="s">
        <v>352</v>
      </c>
      <c r="J37" s="32" t="s">
        <v>325</v>
      </c>
      <c r="K37" s="32" t="s">
        <v>344</v>
      </c>
      <c r="L37" s="32" t="s">
        <v>324</v>
      </c>
      <c r="M37" s="50">
        <f t="shared" si="0"/>
        <v>52</v>
      </c>
      <c r="N37" s="50">
        <f t="shared" si="1"/>
        <v>54</v>
      </c>
    </row>
    <row r="38" spans="1:14" hidden="1">
      <c r="A38" s="36" t="s">
        <v>2</v>
      </c>
      <c r="B38" s="39">
        <v>2019</v>
      </c>
      <c r="C38" s="32" t="s">
        <v>344</v>
      </c>
      <c r="D38" s="32">
        <v>2018</v>
      </c>
      <c r="E38" s="32">
        <v>2019</v>
      </c>
      <c r="F38" s="32" t="s">
        <v>321</v>
      </c>
      <c r="G38" s="32" t="s">
        <v>323</v>
      </c>
      <c r="H38" s="38">
        <v>1963</v>
      </c>
      <c r="I38" s="32" t="s">
        <v>324</v>
      </c>
      <c r="J38" s="32" t="s">
        <v>325</v>
      </c>
      <c r="K38" s="32" t="s">
        <v>345</v>
      </c>
      <c r="L38" s="32" t="s">
        <v>346</v>
      </c>
      <c r="M38" s="50">
        <f t="shared" si="0"/>
        <v>55</v>
      </c>
      <c r="N38" s="50">
        <f t="shared" si="1"/>
        <v>56</v>
      </c>
    </row>
    <row r="39" spans="1:14" hidden="1">
      <c r="A39" s="36" t="s">
        <v>2</v>
      </c>
      <c r="B39" s="39">
        <v>2019</v>
      </c>
      <c r="C39" s="32" t="s">
        <v>351</v>
      </c>
      <c r="D39" s="32">
        <v>2016</v>
      </c>
      <c r="E39" s="32">
        <v>2019</v>
      </c>
      <c r="F39" s="32" t="s">
        <v>320</v>
      </c>
      <c r="G39" s="32" t="s">
        <v>323</v>
      </c>
      <c r="H39" s="38">
        <v>1964</v>
      </c>
      <c r="I39" s="32" t="s">
        <v>352</v>
      </c>
      <c r="J39" s="32" t="s">
        <v>325</v>
      </c>
      <c r="K39" s="32" t="s">
        <v>344</v>
      </c>
      <c r="L39" s="32" t="s">
        <v>324</v>
      </c>
      <c r="M39" s="50">
        <f t="shared" si="0"/>
        <v>52</v>
      </c>
      <c r="N39" s="50">
        <f t="shared" si="1"/>
        <v>55</v>
      </c>
    </row>
    <row r="40" spans="1:14" hidden="1">
      <c r="A40" s="36" t="s">
        <v>2</v>
      </c>
      <c r="B40" s="39">
        <v>2020</v>
      </c>
      <c r="C40" s="32" t="s">
        <v>345</v>
      </c>
      <c r="D40" s="32">
        <v>2019</v>
      </c>
      <c r="E40" s="32">
        <v>2021</v>
      </c>
      <c r="F40" s="32" t="s">
        <v>321</v>
      </c>
      <c r="G40" s="32" t="s">
        <v>323</v>
      </c>
      <c r="H40" s="38">
        <v>1968</v>
      </c>
      <c r="I40" s="32" t="s">
        <v>346</v>
      </c>
      <c r="J40" s="32" t="s">
        <v>325</v>
      </c>
      <c r="K40" s="32" t="s">
        <v>347</v>
      </c>
      <c r="L40" s="32" t="s">
        <v>348</v>
      </c>
      <c r="M40" s="50">
        <f t="shared" si="0"/>
        <v>51</v>
      </c>
      <c r="N40" s="50">
        <f t="shared" si="1"/>
        <v>52</v>
      </c>
    </row>
    <row r="41" spans="1:14" hidden="1">
      <c r="A41" s="36" t="s">
        <v>2</v>
      </c>
      <c r="B41" s="39">
        <v>2020</v>
      </c>
      <c r="C41" s="32" t="s">
        <v>344</v>
      </c>
      <c r="D41" s="32">
        <v>2019</v>
      </c>
      <c r="E41" s="32">
        <v>2021</v>
      </c>
      <c r="F41" s="32" t="s">
        <v>320</v>
      </c>
      <c r="G41" s="32" t="s">
        <v>323</v>
      </c>
      <c r="H41" s="38">
        <v>1963</v>
      </c>
      <c r="I41" s="32" t="s">
        <v>324</v>
      </c>
      <c r="J41" s="32" t="s">
        <v>325</v>
      </c>
      <c r="K41" s="32" t="s">
        <v>345</v>
      </c>
      <c r="L41" s="32" t="s">
        <v>346</v>
      </c>
      <c r="M41" s="50">
        <f t="shared" si="0"/>
        <v>56</v>
      </c>
      <c r="N41" s="50">
        <f t="shared" si="1"/>
        <v>57</v>
      </c>
    </row>
    <row r="42" spans="1:14" hidden="1">
      <c r="A42" s="36" t="s">
        <v>2</v>
      </c>
      <c r="B42" s="39">
        <v>2021</v>
      </c>
      <c r="C42" s="32" t="s">
        <v>345</v>
      </c>
      <c r="D42" s="32">
        <v>2019</v>
      </c>
      <c r="E42" s="32">
        <v>2021</v>
      </c>
      <c r="F42" s="32" t="s">
        <v>321</v>
      </c>
      <c r="G42" s="32" t="s">
        <v>323</v>
      </c>
      <c r="H42" s="38">
        <v>1968</v>
      </c>
      <c r="I42" s="32" t="s">
        <v>346</v>
      </c>
      <c r="J42" s="32" t="s">
        <v>325</v>
      </c>
      <c r="K42" s="32" t="s">
        <v>347</v>
      </c>
      <c r="L42" s="32" t="s">
        <v>348</v>
      </c>
      <c r="M42" s="50">
        <f t="shared" si="0"/>
        <v>51</v>
      </c>
      <c r="N42" s="50">
        <f t="shared" si="1"/>
        <v>53</v>
      </c>
    </row>
    <row r="43" spans="1:14" hidden="1">
      <c r="A43" s="36" t="s">
        <v>2</v>
      </c>
      <c r="B43" s="39">
        <v>2021</v>
      </c>
      <c r="C43" s="32" t="s">
        <v>344</v>
      </c>
      <c r="D43" s="32">
        <v>2019</v>
      </c>
      <c r="E43" s="32">
        <v>2021</v>
      </c>
      <c r="F43" s="32" t="s">
        <v>320</v>
      </c>
      <c r="G43" s="32" t="s">
        <v>323</v>
      </c>
      <c r="H43" s="38">
        <v>1963</v>
      </c>
      <c r="I43" s="32" t="s">
        <v>324</v>
      </c>
      <c r="J43" s="32" t="s">
        <v>325</v>
      </c>
      <c r="K43" s="32" t="s">
        <v>345</v>
      </c>
      <c r="L43" s="32" t="s">
        <v>346</v>
      </c>
      <c r="M43" s="50">
        <f t="shared" si="0"/>
        <v>56</v>
      </c>
      <c r="N43" s="50">
        <f t="shared" si="1"/>
        <v>58</v>
      </c>
    </row>
    <row r="44" spans="1:14" hidden="1">
      <c r="A44" s="36" t="s">
        <v>2</v>
      </c>
      <c r="B44" s="39">
        <v>2022</v>
      </c>
      <c r="C44" s="35"/>
      <c r="D44" s="35"/>
      <c r="E44" s="35"/>
      <c r="F44" s="35" t="s">
        <v>321</v>
      </c>
      <c r="G44" s="35"/>
      <c r="H44" s="39"/>
      <c r="I44" s="35"/>
      <c r="J44" s="35"/>
      <c r="K44" s="35"/>
      <c r="L44" s="35"/>
      <c r="M44" s="50"/>
      <c r="N44" s="50"/>
    </row>
    <row r="45" spans="1:14" hidden="1">
      <c r="A45" s="36" t="s">
        <v>2</v>
      </c>
      <c r="B45" s="39">
        <v>2022</v>
      </c>
      <c r="C45" s="32" t="s">
        <v>345</v>
      </c>
      <c r="D45" s="32">
        <v>2021</v>
      </c>
      <c r="E45" s="32">
        <v>2023</v>
      </c>
      <c r="F45" s="32" t="s">
        <v>320</v>
      </c>
      <c r="G45" s="32" t="s">
        <v>323</v>
      </c>
      <c r="H45" s="38">
        <v>1968</v>
      </c>
      <c r="I45" s="32" t="s">
        <v>346</v>
      </c>
      <c r="J45" s="32" t="s">
        <v>325</v>
      </c>
      <c r="K45" s="32"/>
      <c r="L45" s="32"/>
      <c r="M45" s="50">
        <f t="shared" si="0"/>
        <v>53</v>
      </c>
      <c r="N45" s="50">
        <f>B45-H45</f>
        <v>54</v>
      </c>
    </row>
    <row r="46" spans="1:14" hidden="1">
      <c r="A46" s="35" t="s">
        <v>3</v>
      </c>
      <c r="B46" s="39">
        <v>2012</v>
      </c>
      <c r="C46" s="32" t="s">
        <v>333</v>
      </c>
      <c r="D46" s="32">
        <v>2011</v>
      </c>
      <c r="E46" s="32">
        <v>2013</v>
      </c>
      <c r="F46" s="32" t="s">
        <v>321</v>
      </c>
      <c r="G46" s="32" t="s">
        <v>323</v>
      </c>
      <c r="H46" s="38">
        <v>1964</v>
      </c>
      <c r="I46" s="32" t="s">
        <v>334</v>
      </c>
      <c r="J46" s="32" t="s">
        <v>325</v>
      </c>
      <c r="K46" s="32" t="s">
        <v>362</v>
      </c>
      <c r="L46" s="32" t="s">
        <v>361</v>
      </c>
      <c r="M46" s="50">
        <f t="shared" si="0"/>
        <v>47</v>
      </c>
      <c r="N46" s="50">
        <f t="shared" si="1"/>
        <v>48</v>
      </c>
    </row>
    <row r="47" spans="1:14" hidden="1">
      <c r="A47" s="35" t="s">
        <v>3</v>
      </c>
      <c r="B47" s="39">
        <v>2012</v>
      </c>
      <c r="C47" s="32" t="s">
        <v>326</v>
      </c>
      <c r="D47" s="32">
        <v>2011</v>
      </c>
      <c r="E47" s="32">
        <v>2013</v>
      </c>
      <c r="F47" s="32" t="s">
        <v>320</v>
      </c>
      <c r="G47" s="32" t="s">
        <v>323</v>
      </c>
      <c r="H47" s="38">
        <v>1964</v>
      </c>
      <c r="I47" s="32" t="s">
        <v>327</v>
      </c>
      <c r="J47" s="32" t="s">
        <v>325</v>
      </c>
      <c r="K47" s="32" t="s">
        <v>333</v>
      </c>
      <c r="L47" s="32" t="s">
        <v>334</v>
      </c>
      <c r="M47" s="50">
        <f t="shared" si="0"/>
        <v>47</v>
      </c>
      <c r="N47" s="50">
        <f t="shared" si="1"/>
        <v>48</v>
      </c>
    </row>
    <row r="48" spans="1:14" hidden="1">
      <c r="A48" s="35" t="s">
        <v>3</v>
      </c>
      <c r="B48" s="39">
        <v>2013</v>
      </c>
      <c r="C48" s="32" t="s">
        <v>362</v>
      </c>
      <c r="D48" s="32">
        <v>2013</v>
      </c>
      <c r="E48" s="32">
        <v>2018</v>
      </c>
      <c r="F48" s="32" t="s">
        <v>321</v>
      </c>
      <c r="G48" s="32" t="s">
        <v>323</v>
      </c>
      <c r="H48" s="38">
        <v>1968</v>
      </c>
      <c r="I48" s="32" t="s">
        <v>361</v>
      </c>
      <c r="J48" s="32" t="s">
        <v>325</v>
      </c>
      <c r="K48" s="32" t="s">
        <v>353</v>
      </c>
      <c r="L48" s="32" t="s">
        <v>361</v>
      </c>
      <c r="M48" s="50">
        <f t="shared" si="0"/>
        <v>45</v>
      </c>
      <c r="N48" s="50">
        <f t="shared" si="1"/>
        <v>45</v>
      </c>
    </row>
    <row r="49" spans="1:14" hidden="1">
      <c r="A49" s="35" t="s">
        <v>3</v>
      </c>
      <c r="B49" s="39">
        <v>2013</v>
      </c>
      <c r="C49" s="32" t="s">
        <v>333</v>
      </c>
      <c r="D49" s="32">
        <v>2013</v>
      </c>
      <c r="E49" s="32">
        <v>2014</v>
      </c>
      <c r="F49" s="32" t="s">
        <v>320</v>
      </c>
      <c r="G49" s="32" t="s">
        <v>323</v>
      </c>
      <c r="H49" s="38">
        <v>1964</v>
      </c>
      <c r="I49" s="32" t="s">
        <v>334</v>
      </c>
      <c r="J49" s="32" t="s">
        <v>325</v>
      </c>
      <c r="K49" s="32" t="s">
        <v>357</v>
      </c>
      <c r="L49" s="32" t="s">
        <v>358</v>
      </c>
      <c r="M49" s="50">
        <f t="shared" si="0"/>
        <v>49</v>
      </c>
      <c r="N49" s="50">
        <f t="shared" si="1"/>
        <v>49</v>
      </c>
    </row>
    <row r="50" spans="1:14" hidden="1">
      <c r="A50" s="35" t="s">
        <v>3</v>
      </c>
      <c r="B50" s="39">
        <v>2014</v>
      </c>
      <c r="C50" s="32" t="s">
        <v>362</v>
      </c>
      <c r="D50" s="32">
        <v>2013</v>
      </c>
      <c r="E50" s="32">
        <v>2018</v>
      </c>
      <c r="F50" s="32" t="s">
        <v>321</v>
      </c>
      <c r="G50" s="32" t="s">
        <v>323</v>
      </c>
      <c r="H50" s="38">
        <v>1968</v>
      </c>
      <c r="I50" s="32" t="s">
        <v>361</v>
      </c>
      <c r="J50" s="32" t="s">
        <v>325</v>
      </c>
      <c r="K50" s="32" t="s">
        <v>353</v>
      </c>
      <c r="L50" s="32" t="s">
        <v>361</v>
      </c>
      <c r="M50" s="50">
        <f t="shared" si="0"/>
        <v>45</v>
      </c>
      <c r="N50" s="50">
        <f t="shared" si="1"/>
        <v>46</v>
      </c>
    </row>
    <row r="51" spans="1:14" hidden="1">
      <c r="A51" s="35" t="s">
        <v>3</v>
      </c>
      <c r="B51" s="39">
        <v>2014</v>
      </c>
      <c r="C51" s="32" t="s">
        <v>333</v>
      </c>
      <c r="D51" s="32">
        <v>2013</v>
      </c>
      <c r="E51" s="32">
        <v>2014</v>
      </c>
      <c r="F51" s="32" t="s">
        <v>320</v>
      </c>
      <c r="G51" s="32" t="s">
        <v>323</v>
      </c>
      <c r="H51" s="38">
        <v>1964</v>
      </c>
      <c r="I51" s="32" t="s">
        <v>334</v>
      </c>
      <c r="J51" s="32" t="s">
        <v>325</v>
      </c>
      <c r="K51" s="32" t="s">
        <v>357</v>
      </c>
      <c r="L51" s="32" t="s">
        <v>358</v>
      </c>
      <c r="M51" s="50">
        <f t="shared" si="0"/>
        <v>49</v>
      </c>
      <c r="N51" s="50">
        <f t="shared" si="1"/>
        <v>50</v>
      </c>
    </row>
    <row r="52" spans="1:14" hidden="1">
      <c r="A52" s="36" t="s">
        <v>3</v>
      </c>
      <c r="B52" s="39">
        <v>2015</v>
      </c>
      <c r="C52" s="32" t="s">
        <v>362</v>
      </c>
      <c r="D52" s="32">
        <v>2013</v>
      </c>
      <c r="E52" s="32">
        <v>2018</v>
      </c>
      <c r="F52" s="32" t="s">
        <v>321</v>
      </c>
      <c r="G52" s="32" t="s">
        <v>323</v>
      </c>
      <c r="H52" s="38">
        <v>1968</v>
      </c>
      <c r="I52" s="32" t="s">
        <v>361</v>
      </c>
      <c r="J52" s="32" t="s">
        <v>325</v>
      </c>
      <c r="K52" s="32" t="s">
        <v>353</v>
      </c>
      <c r="L52" s="32" t="s">
        <v>361</v>
      </c>
      <c r="M52" s="50">
        <f t="shared" si="0"/>
        <v>45</v>
      </c>
      <c r="N52" s="50">
        <f t="shared" si="1"/>
        <v>47</v>
      </c>
    </row>
    <row r="53" spans="1:14" hidden="1">
      <c r="A53" s="36" t="s">
        <v>3</v>
      </c>
      <c r="B53" s="39">
        <v>2015</v>
      </c>
      <c r="C53" s="32" t="s">
        <v>357</v>
      </c>
      <c r="D53" s="32">
        <v>2014</v>
      </c>
      <c r="E53" s="32">
        <v>2018</v>
      </c>
      <c r="F53" s="32" t="s">
        <v>320</v>
      </c>
      <c r="G53" s="32" t="s">
        <v>323</v>
      </c>
      <c r="H53" s="38">
        <v>1964</v>
      </c>
      <c r="I53" s="32" t="s">
        <v>358</v>
      </c>
      <c r="J53" s="32" t="s">
        <v>325</v>
      </c>
      <c r="K53" s="32" t="s">
        <v>356</v>
      </c>
      <c r="L53" s="32" t="s">
        <v>327</v>
      </c>
      <c r="M53" s="50">
        <f t="shared" si="0"/>
        <v>50</v>
      </c>
      <c r="N53" s="50">
        <f t="shared" si="1"/>
        <v>51</v>
      </c>
    </row>
    <row r="54" spans="1:14" hidden="1">
      <c r="A54" s="36" t="s">
        <v>3</v>
      </c>
      <c r="B54" s="39">
        <v>2016</v>
      </c>
      <c r="C54" s="32" t="s">
        <v>362</v>
      </c>
      <c r="D54" s="32">
        <v>2013</v>
      </c>
      <c r="E54" s="32">
        <v>2018</v>
      </c>
      <c r="F54" s="32" t="s">
        <v>321</v>
      </c>
      <c r="G54" s="32" t="s">
        <v>323</v>
      </c>
      <c r="H54" s="38">
        <v>1968</v>
      </c>
      <c r="I54" s="32" t="s">
        <v>361</v>
      </c>
      <c r="J54" s="32" t="s">
        <v>325</v>
      </c>
      <c r="K54" s="32" t="s">
        <v>353</v>
      </c>
      <c r="L54" s="32" t="s">
        <v>361</v>
      </c>
      <c r="M54" s="50">
        <f t="shared" si="0"/>
        <v>45</v>
      </c>
      <c r="N54" s="50">
        <f t="shared" si="1"/>
        <v>48</v>
      </c>
    </row>
    <row r="55" spans="1:14" hidden="1">
      <c r="A55" s="36" t="s">
        <v>3</v>
      </c>
      <c r="B55" s="39">
        <v>2016</v>
      </c>
      <c r="C55" s="32" t="s">
        <v>357</v>
      </c>
      <c r="D55" s="32">
        <v>2014</v>
      </c>
      <c r="E55" s="32">
        <v>2018</v>
      </c>
      <c r="F55" s="32" t="s">
        <v>320</v>
      </c>
      <c r="G55" s="32" t="s">
        <v>323</v>
      </c>
      <c r="H55" s="38">
        <v>1964</v>
      </c>
      <c r="I55" s="32" t="s">
        <v>358</v>
      </c>
      <c r="J55" s="32" t="s">
        <v>325</v>
      </c>
      <c r="K55" s="32" t="s">
        <v>356</v>
      </c>
      <c r="L55" s="32" t="s">
        <v>327</v>
      </c>
      <c r="M55" s="50">
        <f t="shared" si="0"/>
        <v>50</v>
      </c>
      <c r="N55" s="50">
        <f t="shared" si="1"/>
        <v>52</v>
      </c>
    </row>
    <row r="56" spans="1:14" hidden="1">
      <c r="A56" s="36" t="s">
        <v>3</v>
      </c>
      <c r="B56" s="39">
        <v>2017</v>
      </c>
      <c r="C56" s="32" t="s">
        <v>362</v>
      </c>
      <c r="D56" s="32">
        <v>2013</v>
      </c>
      <c r="E56" s="32">
        <v>2018</v>
      </c>
      <c r="F56" s="32" t="s">
        <v>321</v>
      </c>
      <c r="G56" s="32" t="s">
        <v>323</v>
      </c>
      <c r="H56" s="38">
        <v>1968</v>
      </c>
      <c r="I56" s="32" t="s">
        <v>361</v>
      </c>
      <c r="J56" s="32" t="s">
        <v>325</v>
      </c>
      <c r="K56" s="32" t="s">
        <v>353</v>
      </c>
      <c r="L56" s="32" t="s">
        <v>361</v>
      </c>
      <c r="M56" s="50">
        <f t="shared" si="0"/>
        <v>45</v>
      </c>
      <c r="N56" s="50">
        <f t="shared" si="1"/>
        <v>49</v>
      </c>
    </row>
    <row r="57" spans="1:14" hidden="1">
      <c r="A57" s="36" t="s">
        <v>3</v>
      </c>
      <c r="B57" s="39">
        <v>2017</v>
      </c>
      <c r="C57" s="32" t="s">
        <v>357</v>
      </c>
      <c r="D57" s="32">
        <v>2014</v>
      </c>
      <c r="E57" s="32">
        <v>2018</v>
      </c>
      <c r="F57" s="32" t="s">
        <v>320</v>
      </c>
      <c r="G57" s="32" t="s">
        <v>323</v>
      </c>
      <c r="H57" s="38">
        <v>1964</v>
      </c>
      <c r="I57" s="32" t="s">
        <v>358</v>
      </c>
      <c r="J57" s="32" t="s">
        <v>325</v>
      </c>
      <c r="K57" s="32" t="s">
        <v>356</v>
      </c>
      <c r="L57" s="32" t="s">
        <v>327</v>
      </c>
      <c r="M57" s="50">
        <f t="shared" si="0"/>
        <v>50</v>
      </c>
      <c r="N57" s="50">
        <f t="shared" si="1"/>
        <v>53</v>
      </c>
    </row>
    <row r="58" spans="1:14" hidden="1">
      <c r="A58" s="36" t="s">
        <v>3</v>
      </c>
      <c r="B58" s="39">
        <v>2018</v>
      </c>
      <c r="C58" s="32" t="s">
        <v>353</v>
      </c>
      <c r="D58" s="32">
        <v>2018</v>
      </c>
      <c r="E58" s="32">
        <v>2020</v>
      </c>
      <c r="F58" s="32" t="s">
        <v>321</v>
      </c>
      <c r="G58" s="32" t="s">
        <v>323</v>
      </c>
      <c r="H58" s="38">
        <v>1965</v>
      </c>
      <c r="I58" s="32" t="s">
        <v>361</v>
      </c>
      <c r="J58" s="32" t="s">
        <v>325</v>
      </c>
      <c r="K58" s="32" t="s">
        <v>359</v>
      </c>
      <c r="L58" s="32" t="s">
        <v>360</v>
      </c>
      <c r="M58" s="50">
        <f t="shared" si="0"/>
        <v>53</v>
      </c>
      <c r="N58" s="50">
        <f t="shared" si="1"/>
        <v>53</v>
      </c>
    </row>
    <row r="59" spans="1:14" hidden="1">
      <c r="A59" s="36" t="s">
        <v>3</v>
      </c>
      <c r="B59" s="39">
        <v>2018</v>
      </c>
      <c r="C59" s="32" t="s">
        <v>356</v>
      </c>
      <c r="D59" s="32">
        <v>2018</v>
      </c>
      <c r="E59" s="32">
        <v>2020</v>
      </c>
      <c r="F59" s="32" t="s">
        <v>320</v>
      </c>
      <c r="G59" s="32" t="s">
        <v>323</v>
      </c>
      <c r="H59" s="38">
        <v>1964</v>
      </c>
      <c r="I59" s="32" t="s">
        <v>327</v>
      </c>
      <c r="J59" s="32" t="s">
        <v>325</v>
      </c>
      <c r="K59" s="32" t="s">
        <v>353</v>
      </c>
      <c r="L59" s="32" t="s">
        <v>355</v>
      </c>
      <c r="M59" s="50">
        <f t="shared" si="0"/>
        <v>54</v>
      </c>
      <c r="N59" s="50">
        <f t="shared" si="1"/>
        <v>54</v>
      </c>
    </row>
    <row r="60" spans="1:14" hidden="1">
      <c r="A60" s="36" t="s">
        <v>3</v>
      </c>
      <c r="B60" s="39">
        <v>2019</v>
      </c>
      <c r="C60" s="32" t="s">
        <v>353</v>
      </c>
      <c r="D60" s="32">
        <v>2018</v>
      </c>
      <c r="E60" s="32">
        <v>2020</v>
      </c>
      <c r="F60" s="32" t="s">
        <v>321</v>
      </c>
      <c r="G60" s="32" t="s">
        <v>323</v>
      </c>
      <c r="H60" s="38">
        <v>1965</v>
      </c>
      <c r="I60" s="32" t="s">
        <v>361</v>
      </c>
      <c r="J60" s="32" t="s">
        <v>325</v>
      </c>
      <c r="K60" s="32" t="s">
        <v>359</v>
      </c>
      <c r="L60" s="32" t="s">
        <v>360</v>
      </c>
      <c r="M60" s="50">
        <f t="shared" si="0"/>
        <v>53</v>
      </c>
      <c r="N60" s="50">
        <f t="shared" si="1"/>
        <v>54</v>
      </c>
    </row>
    <row r="61" spans="1:14" hidden="1">
      <c r="A61" s="36" t="s">
        <v>3</v>
      </c>
      <c r="B61" s="39">
        <v>2019</v>
      </c>
      <c r="C61" s="32" t="s">
        <v>356</v>
      </c>
      <c r="D61" s="32">
        <v>2018</v>
      </c>
      <c r="E61" s="32">
        <v>2020</v>
      </c>
      <c r="F61" s="32" t="s">
        <v>320</v>
      </c>
      <c r="G61" s="32" t="s">
        <v>323</v>
      </c>
      <c r="H61" s="38">
        <v>1964</v>
      </c>
      <c r="I61" s="32" t="s">
        <v>327</v>
      </c>
      <c r="J61" s="32" t="s">
        <v>325</v>
      </c>
      <c r="K61" s="32" t="s">
        <v>353</v>
      </c>
      <c r="L61" s="32" t="s">
        <v>355</v>
      </c>
      <c r="M61" s="50">
        <f t="shared" si="0"/>
        <v>54</v>
      </c>
      <c r="N61" s="50">
        <f t="shared" si="1"/>
        <v>55</v>
      </c>
    </row>
    <row r="62" spans="1:14" hidden="1">
      <c r="A62" s="36" t="s">
        <v>3</v>
      </c>
      <c r="B62" s="39">
        <v>2020</v>
      </c>
      <c r="C62" s="32" t="s">
        <v>353</v>
      </c>
      <c r="D62" s="32">
        <v>2018</v>
      </c>
      <c r="E62" s="32">
        <v>2020</v>
      </c>
      <c r="F62" s="32" t="s">
        <v>321</v>
      </c>
      <c r="G62" s="32" t="s">
        <v>323</v>
      </c>
      <c r="H62" s="38">
        <v>1965</v>
      </c>
      <c r="I62" s="32" t="s">
        <v>361</v>
      </c>
      <c r="J62" s="32" t="s">
        <v>325</v>
      </c>
      <c r="K62" s="32" t="s">
        <v>359</v>
      </c>
      <c r="L62" s="32" t="s">
        <v>360</v>
      </c>
      <c r="M62" s="50">
        <f t="shared" si="0"/>
        <v>53</v>
      </c>
      <c r="N62" s="50">
        <f t="shared" si="1"/>
        <v>55</v>
      </c>
    </row>
    <row r="63" spans="1:14" hidden="1">
      <c r="A63" s="36" t="s">
        <v>3</v>
      </c>
      <c r="B63" s="39">
        <v>2020</v>
      </c>
      <c r="C63" s="32" t="s">
        <v>356</v>
      </c>
      <c r="D63" s="32">
        <v>2018</v>
      </c>
      <c r="E63" s="32">
        <v>2020</v>
      </c>
      <c r="F63" s="32" t="s">
        <v>320</v>
      </c>
      <c r="G63" s="32" t="s">
        <v>323</v>
      </c>
      <c r="H63" s="38">
        <v>1964</v>
      </c>
      <c r="I63" s="32" t="s">
        <v>327</v>
      </c>
      <c r="J63" s="32" t="s">
        <v>325</v>
      </c>
      <c r="K63" s="32" t="s">
        <v>353</v>
      </c>
      <c r="L63" s="32" t="s">
        <v>355</v>
      </c>
      <c r="M63" s="50">
        <f t="shared" si="0"/>
        <v>54</v>
      </c>
      <c r="N63" s="50">
        <f t="shared" si="1"/>
        <v>56</v>
      </c>
    </row>
    <row r="64" spans="1:14" hidden="1">
      <c r="A64" s="36" t="s">
        <v>3</v>
      </c>
      <c r="B64" s="39">
        <v>2021</v>
      </c>
      <c r="C64" s="32" t="s">
        <v>359</v>
      </c>
      <c r="D64" s="32">
        <v>2020</v>
      </c>
      <c r="E64" s="32" t="s">
        <v>354</v>
      </c>
      <c r="F64" s="32" t="s">
        <v>321</v>
      </c>
      <c r="G64" s="32" t="s">
        <v>323</v>
      </c>
      <c r="H64" s="38">
        <v>1969</v>
      </c>
      <c r="I64" s="32" t="s">
        <v>360</v>
      </c>
      <c r="J64" s="32" t="s">
        <v>325</v>
      </c>
      <c r="K64" s="35"/>
      <c r="L64" s="35"/>
      <c r="M64" s="50">
        <f t="shared" si="0"/>
        <v>51</v>
      </c>
      <c r="N64" s="50">
        <f t="shared" si="1"/>
        <v>52</v>
      </c>
    </row>
    <row r="65" spans="1:14" hidden="1">
      <c r="A65" s="36" t="s">
        <v>3</v>
      </c>
      <c r="B65" s="39">
        <v>2021</v>
      </c>
      <c r="C65" s="32" t="s">
        <v>353</v>
      </c>
      <c r="D65" s="32">
        <v>2020</v>
      </c>
      <c r="E65" s="32" t="s">
        <v>354</v>
      </c>
      <c r="F65" s="32" t="s">
        <v>320</v>
      </c>
      <c r="G65" s="32" t="s">
        <v>323</v>
      </c>
      <c r="H65" s="38">
        <v>1965</v>
      </c>
      <c r="I65" s="32" t="s">
        <v>355</v>
      </c>
      <c r="J65" s="32" t="s">
        <v>325</v>
      </c>
      <c r="K65" s="35"/>
      <c r="L65" s="35"/>
      <c r="M65" s="50">
        <f t="shared" si="0"/>
        <v>55</v>
      </c>
      <c r="N65" s="50">
        <f t="shared" si="1"/>
        <v>56</v>
      </c>
    </row>
    <row r="66" spans="1:14" hidden="1">
      <c r="A66" s="36" t="s">
        <v>3</v>
      </c>
      <c r="B66" s="39">
        <v>2022</v>
      </c>
      <c r="C66" s="32" t="s">
        <v>359</v>
      </c>
      <c r="D66" s="32">
        <v>2020</v>
      </c>
      <c r="E66" s="32" t="s">
        <v>354</v>
      </c>
      <c r="F66" s="32" t="s">
        <v>321</v>
      </c>
      <c r="G66" s="32" t="s">
        <v>323</v>
      </c>
      <c r="H66" s="38">
        <v>1969</v>
      </c>
      <c r="I66" s="32" t="s">
        <v>360</v>
      </c>
      <c r="J66" s="32" t="s">
        <v>325</v>
      </c>
      <c r="K66" s="35"/>
      <c r="L66" s="35"/>
      <c r="M66" s="50">
        <f t="shared" si="0"/>
        <v>51</v>
      </c>
      <c r="N66" s="50">
        <f t="shared" si="1"/>
        <v>53</v>
      </c>
    </row>
    <row r="67" spans="1:14" hidden="1">
      <c r="A67" s="36" t="s">
        <v>3</v>
      </c>
      <c r="B67" s="39">
        <v>2022</v>
      </c>
      <c r="C67" s="32" t="s">
        <v>353</v>
      </c>
      <c r="D67" s="32">
        <v>2020</v>
      </c>
      <c r="E67" s="32" t="s">
        <v>354</v>
      </c>
      <c r="F67" s="32" t="s">
        <v>320</v>
      </c>
      <c r="G67" s="32" t="s">
        <v>323</v>
      </c>
      <c r="H67" s="38">
        <v>1965</v>
      </c>
      <c r="I67" s="32" t="s">
        <v>355</v>
      </c>
      <c r="J67" s="32" t="s">
        <v>325</v>
      </c>
      <c r="K67" s="35"/>
      <c r="L67" s="35"/>
      <c r="M67" s="50">
        <f t="shared" ref="M67:M130" si="2">D67-H67</f>
        <v>55</v>
      </c>
      <c r="N67" s="50">
        <f t="shared" ref="N67:N130" si="3">B67-H67</f>
        <v>57</v>
      </c>
    </row>
    <row r="68" spans="1:14" hidden="1">
      <c r="A68" s="35" t="s">
        <v>4</v>
      </c>
      <c r="B68" s="39">
        <v>2012</v>
      </c>
      <c r="C68" s="33" t="s">
        <v>368</v>
      </c>
      <c r="D68" s="32">
        <v>2011</v>
      </c>
      <c r="E68" s="32">
        <v>2013</v>
      </c>
      <c r="F68" s="32" t="s">
        <v>321</v>
      </c>
      <c r="G68" s="32" t="s">
        <v>323</v>
      </c>
      <c r="H68" s="38">
        <v>1962</v>
      </c>
      <c r="I68" s="32" t="s">
        <v>358</v>
      </c>
      <c r="J68" s="32" t="s">
        <v>325</v>
      </c>
      <c r="K68" s="32" t="s">
        <v>366</v>
      </c>
      <c r="L68" s="32" t="s">
        <v>367</v>
      </c>
      <c r="M68" s="50">
        <f t="shared" si="2"/>
        <v>49</v>
      </c>
      <c r="N68" s="50">
        <f t="shared" si="3"/>
        <v>50</v>
      </c>
    </row>
    <row r="69" spans="1:14">
      <c r="A69" s="35" t="s">
        <v>4</v>
      </c>
      <c r="B69" s="39">
        <v>2012</v>
      </c>
      <c r="C69" s="32" t="s">
        <v>374</v>
      </c>
      <c r="D69" s="32">
        <v>2012</v>
      </c>
      <c r="E69" s="32">
        <v>2017</v>
      </c>
      <c r="F69" s="32" t="s">
        <v>320</v>
      </c>
      <c r="G69" s="32" t="s">
        <v>323</v>
      </c>
      <c r="H69" s="38">
        <v>1961</v>
      </c>
      <c r="I69" s="32" t="s">
        <v>375</v>
      </c>
      <c r="J69" s="32" t="s">
        <v>325</v>
      </c>
      <c r="K69" s="32" t="s">
        <v>366</v>
      </c>
      <c r="L69" s="32" t="s">
        <v>367</v>
      </c>
      <c r="M69" s="50">
        <f t="shared" si="2"/>
        <v>51</v>
      </c>
      <c r="N69" s="50">
        <f t="shared" si="3"/>
        <v>51</v>
      </c>
    </row>
    <row r="70" spans="1:14" hidden="1">
      <c r="A70" s="35" t="s">
        <v>4</v>
      </c>
      <c r="B70" s="39">
        <v>2013</v>
      </c>
      <c r="C70" s="33" t="s">
        <v>368</v>
      </c>
      <c r="D70" s="32">
        <v>2011</v>
      </c>
      <c r="E70" s="32">
        <v>2013</v>
      </c>
      <c r="F70" s="32" t="s">
        <v>321</v>
      </c>
      <c r="G70" s="32" t="s">
        <v>323</v>
      </c>
      <c r="H70" s="38">
        <v>1962</v>
      </c>
      <c r="I70" s="32" t="s">
        <v>358</v>
      </c>
      <c r="J70" s="32" t="s">
        <v>325</v>
      </c>
      <c r="K70" s="32" t="s">
        <v>366</v>
      </c>
      <c r="L70" s="32" t="s">
        <v>367</v>
      </c>
      <c r="M70" s="50">
        <f t="shared" si="2"/>
        <v>49</v>
      </c>
      <c r="N70" s="50">
        <f t="shared" si="3"/>
        <v>51</v>
      </c>
    </row>
    <row r="71" spans="1:14">
      <c r="A71" s="35" t="s">
        <v>4</v>
      </c>
      <c r="B71" s="39">
        <v>2013</v>
      </c>
      <c r="C71" s="32" t="s">
        <v>374</v>
      </c>
      <c r="D71" s="32">
        <v>2012</v>
      </c>
      <c r="E71" s="32">
        <v>2017</v>
      </c>
      <c r="F71" s="32" t="s">
        <v>320</v>
      </c>
      <c r="G71" s="32" t="s">
        <v>323</v>
      </c>
      <c r="H71" s="38">
        <v>1961</v>
      </c>
      <c r="I71" s="32" t="s">
        <v>375</v>
      </c>
      <c r="J71" s="32" t="s">
        <v>325</v>
      </c>
      <c r="K71" s="32" t="s">
        <v>366</v>
      </c>
      <c r="L71" s="32" t="s">
        <v>367</v>
      </c>
      <c r="M71" s="50">
        <f t="shared" si="2"/>
        <v>51</v>
      </c>
      <c r="N71" s="50">
        <f t="shared" si="3"/>
        <v>52</v>
      </c>
    </row>
    <row r="72" spans="1:14" hidden="1">
      <c r="A72" s="35" t="s">
        <v>4</v>
      </c>
      <c r="B72" s="39">
        <v>2014</v>
      </c>
      <c r="C72" s="32" t="s">
        <v>366</v>
      </c>
      <c r="D72" s="32">
        <v>2013</v>
      </c>
      <c r="E72" s="32">
        <v>2017</v>
      </c>
      <c r="F72" s="32" t="s">
        <v>321</v>
      </c>
      <c r="G72" s="32" t="s">
        <v>323</v>
      </c>
      <c r="H72" s="38">
        <v>1971</v>
      </c>
      <c r="I72" s="32" t="s">
        <v>367</v>
      </c>
      <c r="J72" s="32" t="s">
        <v>325</v>
      </c>
      <c r="K72" s="32" t="s">
        <v>365</v>
      </c>
      <c r="L72" s="32" t="s">
        <v>350</v>
      </c>
      <c r="M72" s="50">
        <f t="shared" si="2"/>
        <v>42</v>
      </c>
      <c r="N72" s="50">
        <f t="shared" si="3"/>
        <v>43</v>
      </c>
    </row>
    <row r="73" spans="1:14">
      <c r="A73" s="35" t="s">
        <v>4</v>
      </c>
      <c r="B73" s="39">
        <v>2014</v>
      </c>
      <c r="C73" s="32" t="s">
        <v>374</v>
      </c>
      <c r="D73" s="32">
        <v>2012</v>
      </c>
      <c r="E73" s="32">
        <v>2017</v>
      </c>
      <c r="F73" s="32" t="s">
        <v>320</v>
      </c>
      <c r="G73" s="32" t="s">
        <v>323</v>
      </c>
      <c r="H73" s="38">
        <v>1961</v>
      </c>
      <c r="I73" s="32" t="s">
        <v>375</v>
      </c>
      <c r="J73" s="32" t="s">
        <v>325</v>
      </c>
      <c r="K73" s="32" t="s">
        <v>366</v>
      </c>
      <c r="L73" s="32" t="s">
        <v>367</v>
      </c>
      <c r="M73" s="50">
        <f t="shared" si="2"/>
        <v>51</v>
      </c>
      <c r="N73" s="50">
        <f t="shared" si="3"/>
        <v>53</v>
      </c>
    </row>
    <row r="74" spans="1:14" hidden="1">
      <c r="A74" s="36" t="s">
        <v>4</v>
      </c>
      <c r="B74" s="39">
        <v>2015</v>
      </c>
      <c r="C74" s="32" t="s">
        <v>366</v>
      </c>
      <c r="D74" s="32">
        <v>2013</v>
      </c>
      <c r="E74" s="32">
        <v>2017</v>
      </c>
      <c r="F74" s="32" t="s">
        <v>321</v>
      </c>
      <c r="G74" s="32" t="s">
        <v>323</v>
      </c>
      <c r="H74" s="38">
        <v>1971</v>
      </c>
      <c r="I74" s="32" t="s">
        <v>367</v>
      </c>
      <c r="J74" s="32" t="s">
        <v>325</v>
      </c>
      <c r="K74" s="32" t="s">
        <v>365</v>
      </c>
      <c r="L74" s="32" t="s">
        <v>350</v>
      </c>
      <c r="M74" s="50">
        <f t="shared" si="2"/>
        <v>42</v>
      </c>
      <c r="N74" s="50">
        <f t="shared" si="3"/>
        <v>44</v>
      </c>
    </row>
    <row r="75" spans="1:14">
      <c r="A75" s="36" t="s">
        <v>4</v>
      </c>
      <c r="B75" s="39">
        <v>2015</v>
      </c>
      <c r="C75" s="32" t="s">
        <v>374</v>
      </c>
      <c r="D75" s="32">
        <v>2012</v>
      </c>
      <c r="E75" s="32">
        <v>2017</v>
      </c>
      <c r="F75" s="32" t="s">
        <v>320</v>
      </c>
      <c r="G75" s="32" t="s">
        <v>323</v>
      </c>
      <c r="H75" s="38">
        <v>1961</v>
      </c>
      <c r="I75" s="32" t="s">
        <v>375</v>
      </c>
      <c r="J75" s="32" t="s">
        <v>325</v>
      </c>
      <c r="K75" s="32" t="s">
        <v>366</v>
      </c>
      <c r="L75" s="32" t="s">
        <v>367</v>
      </c>
      <c r="M75" s="50">
        <f t="shared" si="2"/>
        <v>51</v>
      </c>
      <c r="N75" s="50">
        <f t="shared" si="3"/>
        <v>54</v>
      </c>
    </row>
    <row r="76" spans="1:14" hidden="1">
      <c r="A76" s="36" t="s">
        <v>4</v>
      </c>
      <c r="B76" s="39">
        <v>2016</v>
      </c>
      <c r="C76" s="32" t="s">
        <v>366</v>
      </c>
      <c r="D76" s="32">
        <v>2013</v>
      </c>
      <c r="E76" s="32">
        <v>2017</v>
      </c>
      <c r="F76" s="32" t="s">
        <v>321</v>
      </c>
      <c r="G76" s="32" t="s">
        <v>323</v>
      </c>
      <c r="H76" s="38">
        <v>1971</v>
      </c>
      <c r="I76" s="32" t="s">
        <v>367</v>
      </c>
      <c r="J76" s="32" t="s">
        <v>325</v>
      </c>
      <c r="K76" s="32" t="s">
        <v>365</v>
      </c>
      <c r="L76" s="32" t="s">
        <v>350</v>
      </c>
      <c r="M76" s="50">
        <f t="shared" si="2"/>
        <v>42</v>
      </c>
      <c r="N76" s="50">
        <f t="shared" si="3"/>
        <v>45</v>
      </c>
    </row>
    <row r="77" spans="1:14">
      <c r="A77" s="36" t="s">
        <v>4</v>
      </c>
      <c r="B77" s="39">
        <v>2016</v>
      </c>
      <c r="C77" s="32" t="s">
        <v>374</v>
      </c>
      <c r="D77" s="32">
        <v>2012</v>
      </c>
      <c r="E77" s="32">
        <v>2017</v>
      </c>
      <c r="F77" s="32" t="s">
        <v>320</v>
      </c>
      <c r="G77" s="32" t="s">
        <v>323</v>
      </c>
      <c r="H77" s="38">
        <v>1961</v>
      </c>
      <c r="I77" s="32" t="s">
        <v>375</v>
      </c>
      <c r="J77" s="32" t="s">
        <v>325</v>
      </c>
      <c r="K77" s="32" t="s">
        <v>366</v>
      </c>
      <c r="L77" s="32" t="s">
        <v>367</v>
      </c>
      <c r="M77" s="50">
        <f t="shared" si="2"/>
        <v>51</v>
      </c>
      <c r="N77" s="50">
        <f t="shared" si="3"/>
        <v>55</v>
      </c>
    </row>
    <row r="78" spans="1:14" hidden="1">
      <c r="A78" s="36" t="s">
        <v>4</v>
      </c>
      <c r="B78" s="39">
        <v>2017</v>
      </c>
      <c r="C78" s="32" t="s">
        <v>365</v>
      </c>
      <c r="D78" s="32">
        <v>2017</v>
      </c>
      <c r="E78" s="32">
        <v>2019</v>
      </c>
      <c r="F78" s="32" t="s">
        <v>321</v>
      </c>
      <c r="G78" s="32" t="s">
        <v>323</v>
      </c>
      <c r="H78" s="38">
        <v>1970</v>
      </c>
      <c r="I78" s="32" t="s">
        <v>350</v>
      </c>
      <c r="J78" s="32" t="s">
        <v>325</v>
      </c>
      <c r="K78" s="32" t="s">
        <v>363</v>
      </c>
      <c r="L78" s="32" t="s">
        <v>358</v>
      </c>
      <c r="M78" s="50">
        <f t="shared" si="2"/>
        <v>47</v>
      </c>
      <c r="N78" s="50">
        <f t="shared" si="3"/>
        <v>47</v>
      </c>
    </row>
    <row r="79" spans="1:14">
      <c r="A79" s="36" t="s">
        <v>4</v>
      </c>
      <c r="B79" s="39">
        <v>2017</v>
      </c>
      <c r="C79" s="32" t="s">
        <v>366</v>
      </c>
      <c r="D79" s="32">
        <v>2017</v>
      </c>
      <c r="E79" s="32">
        <v>2018</v>
      </c>
      <c r="F79" s="32" t="s">
        <v>320</v>
      </c>
      <c r="G79" s="32" t="s">
        <v>323</v>
      </c>
      <c r="H79" s="38">
        <v>1971</v>
      </c>
      <c r="I79" s="32" t="s">
        <v>367</v>
      </c>
      <c r="J79" s="32" t="s">
        <v>325</v>
      </c>
      <c r="K79" s="32" t="s">
        <v>372</v>
      </c>
      <c r="L79" s="32" t="s">
        <v>373</v>
      </c>
      <c r="M79" s="50">
        <f t="shared" si="2"/>
        <v>46</v>
      </c>
      <c r="N79" s="50">
        <f>B79-H79</f>
        <v>46</v>
      </c>
    </row>
    <row r="80" spans="1:14" hidden="1">
      <c r="A80" s="36" t="s">
        <v>4</v>
      </c>
      <c r="B80" s="39">
        <v>2018</v>
      </c>
      <c r="C80" s="32" t="s">
        <v>365</v>
      </c>
      <c r="D80" s="32">
        <v>2017</v>
      </c>
      <c r="E80" s="32">
        <v>2019</v>
      </c>
      <c r="F80" s="32" t="s">
        <v>321</v>
      </c>
      <c r="G80" s="32" t="s">
        <v>323</v>
      </c>
      <c r="H80" s="38">
        <v>1970</v>
      </c>
      <c r="I80" s="32" t="s">
        <v>350</v>
      </c>
      <c r="J80" s="32" t="s">
        <v>325</v>
      </c>
      <c r="K80" s="32" t="s">
        <v>363</v>
      </c>
      <c r="L80" s="32" t="s">
        <v>358</v>
      </c>
      <c r="M80" s="50">
        <f t="shared" si="2"/>
        <v>47</v>
      </c>
      <c r="N80" s="50">
        <f t="shared" si="3"/>
        <v>48</v>
      </c>
    </row>
    <row r="81" spans="1:14">
      <c r="A81" s="36" t="s">
        <v>4</v>
      </c>
      <c r="B81" s="39">
        <v>2018</v>
      </c>
      <c r="C81" s="32" t="s">
        <v>372</v>
      </c>
      <c r="D81" s="32">
        <v>2018</v>
      </c>
      <c r="E81" s="32">
        <v>2019</v>
      </c>
      <c r="F81" s="32" t="s">
        <v>320</v>
      </c>
      <c r="G81" s="32" t="s">
        <v>323</v>
      </c>
      <c r="H81" s="38">
        <v>1960</v>
      </c>
      <c r="I81" s="32" t="s">
        <v>373</v>
      </c>
      <c r="J81" s="32" t="s">
        <v>325</v>
      </c>
      <c r="K81" s="32" t="s">
        <v>369</v>
      </c>
      <c r="L81" s="32" t="s">
        <v>370</v>
      </c>
      <c r="M81" s="50">
        <v>58</v>
      </c>
      <c r="N81" s="50">
        <f>B81-H81</f>
        <v>58</v>
      </c>
    </row>
    <row r="82" spans="1:14" hidden="1">
      <c r="A82" s="36" t="s">
        <v>4</v>
      </c>
      <c r="B82" s="39">
        <v>2019</v>
      </c>
      <c r="C82" s="32" t="s">
        <v>365</v>
      </c>
      <c r="D82" s="32">
        <v>2017</v>
      </c>
      <c r="E82" s="32">
        <v>2019</v>
      </c>
      <c r="F82" s="32" t="s">
        <v>321</v>
      </c>
      <c r="G82" s="32" t="s">
        <v>323</v>
      </c>
      <c r="H82" s="38">
        <v>1970</v>
      </c>
      <c r="I82" s="32" t="s">
        <v>350</v>
      </c>
      <c r="J82" s="32" t="s">
        <v>325</v>
      </c>
      <c r="K82" s="32" t="s">
        <v>363</v>
      </c>
      <c r="L82" s="32" t="s">
        <v>358</v>
      </c>
      <c r="M82" s="50">
        <f t="shared" si="2"/>
        <v>47</v>
      </c>
      <c r="N82" s="50">
        <f t="shared" si="3"/>
        <v>49</v>
      </c>
    </row>
    <row r="83" spans="1:14">
      <c r="A83" s="36" t="s">
        <v>4</v>
      </c>
      <c r="B83" s="39">
        <v>2019</v>
      </c>
      <c r="C83" s="32" t="s">
        <v>372</v>
      </c>
      <c r="D83" s="32">
        <v>2018</v>
      </c>
      <c r="E83" s="32">
        <v>2019</v>
      </c>
      <c r="F83" s="32" t="s">
        <v>320</v>
      </c>
      <c r="G83" s="32" t="s">
        <v>323</v>
      </c>
      <c r="H83" s="38">
        <v>1960</v>
      </c>
      <c r="I83" s="32" t="s">
        <v>373</v>
      </c>
      <c r="J83" s="32" t="s">
        <v>325</v>
      </c>
      <c r="K83" s="32" t="s">
        <v>369</v>
      </c>
      <c r="L83" s="32" t="s">
        <v>370</v>
      </c>
      <c r="M83" s="50">
        <v>58</v>
      </c>
      <c r="N83" s="50">
        <f>B83-H83</f>
        <v>59</v>
      </c>
    </row>
    <row r="84" spans="1:14" hidden="1">
      <c r="A84" s="36" t="s">
        <v>4</v>
      </c>
      <c r="B84" s="39">
        <v>2020</v>
      </c>
      <c r="C84" s="32" t="s">
        <v>363</v>
      </c>
      <c r="D84" s="32">
        <v>2019</v>
      </c>
      <c r="E84" s="32">
        <v>2021</v>
      </c>
      <c r="F84" s="32" t="s">
        <v>321</v>
      </c>
      <c r="G84" s="32" t="s">
        <v>323</v>
      </c>
      <c r="H84" s="38">
        <v>1967</v>
      </c>
      <c r="I84" s="32" t="s">
        <v>358</v>
      </c>
      <c r="J84" s="32" t="s">
        <v>325</v>
      </c>
      <c r="K84" s="32" t="s">
        <v>364</v>
      </c>
      <c r="L84" s="32" t="s">
        <v>324</v>
      </c>
      <c r="M84" s="50">
        <f t="shared" si="2"/>
        <v>52</v>
      </c>
      <c r="N84" s="50">
        <f t="shared" si="3"/>
        <v>53</v>
      </c>
    </row>
    <row r="85" spans="1:14">
      <c r="A85" s="36" t="s">
        <v>4</v>
      </c>
      <c r="B85" s="39">
        <v>2020</v>
      </c>
      <c r="C85" s="32" t="s">
        <v>369</v>
      </c>
      <c r="D85" s="32">
        <v>2019</v>
      </c>
      <c r="E85" s="32">
        <v>2021</v>
      </c>
      <c r="F85" s="32" t="s">
        <v>320</v>
      </c>
      <c r="G85" s="32" t="s">
        <v>323</v>
      </c>
      <c r="H85" s="38">
        <v>1967</v>
      </c>
      <c r="I85" s="32" t="s">
        <v>370</v>
      </c>
      <c r="J85" s="32" t="s">
        <v>325</v>
      </c>
      <c r="K85" s="32" t="s">
        <v>363</v>
      </c>
      <c r="L85" s="32" t="s">
        <v>371</v>
      </c>
      <c r="M85" s="50">
        <f t="shared" si="2"/>
        <v>52</v>
      </c>
      <c r="N85" s="50">
        <f>B85-H85</f>
        <v>53</v>
      </c>
    </row>
    <row r="86" spans="1:14" hidden="1">
      <c r="A86" s="36" t="s">
        <v>4</v>
      </c>
      <c r="B86" s="39">
        <v>2021</v>
      </c>
      <c r="C86" s="32" t="s">
        <v>363</v>
      </c>
      <c r="D86" s="32">
        <v>2019</v>
      </c>
      <c r="E86" s="32">
        <v>2021</v>
      </c>
      <c r="F86" s="32" t="s">
        <v>321</v>
      </c>
      <c r="G86" s="32" t="s">
        <v>323</v>
      </c>
      <c r="H86" s="38">
        <v>1967</v>
      </c>
      <c r="I86" s="32" t="s">
        <v>358</v>
      </c>
      <c r="J86" s="32" t="s">
        <v>325</v>
      </c>
      <c r="K86" s="32" t="s">
        <v>364</v>
      </c>
      <c r="L86" s="32" t="s">
        <v>324</v>
      </c>
      <c r="M86" s="50">
        <f t="shared" si="2"/>
        <v>52</v>
      </c>
      <c r="N86" s="50">
        <f t="shared" si="3"/>
        <v>54</v>
      </c>
    </row>
    <row r="87" spans="1:14">
      <c r="A87" s="36" t="s">
        <v>4</v>
      </c>
      <c r="B87" s="39">
        <v>2021</v>
      </c>
      <c r="C87" s="32" t="s">
        <v>369</v>
      </c>
      <c r="D87" s="32">
        <v>2019</v>
      </c>
      <c r="E87" s="32">
        <v>2021</v>
      </c>
      <c r="F87" s="32" t="s">
        <v>320</v>
      </c>
      <c r="G87" s="32" t="s">
        <v>323</v>
      </c>
      <c r="H87" s="38">
        <v>1967</v>
      </c>
      <c r="I87" s="32" t="s">
        <v>370</v>
      </c>
      <c r="J87" s="32" t="s">
        <v>325</v>
      </c>
      <c r="K87" s="32" t="s">
        <v>363</v>
      </c>
      <c r="L87" s="32" t="s">
        <v>371</v>
      </c>
      <c r="M87" s="50">
        <f t="shared" si="2"/>
        <v>52</v>
      </c>
      <c r="N87" s="50">
        <f t="shared" si="3"/>
        <v>54</v>
      </c>
    </row>
    <row r="88" spans="1:14" hidden="1">
      <c r="A88" s="36" t="s">
        <v>4</v>
      </c>
      <c r="B88" s="39">
        <v>2022</v>
      </c>
      <c r="C88" s="35"/>
      <c r="D88" s="35"/>
      <c r="E88" s="35"/>
      <c r="F88" s="35" t="s">
        <v>321</v>
      </c>
      <c r="G88" s="35"/>
      <c r="H88" s="39"/>
      <c r="I88" s="35"/>
      <c r="J88" s="35"/>
      <c r="K88" s="35"/>
      <c r="L88" s="35"/>
      <c r="M88" s="50"/>
      <c r="N88" s="50"/>
    </row>
    <row r="89" spans="1:14">
      <c r="A89" s="36" t="s">
        <v>4</v>
      </c>
      <c r="B89" s="44">
        <v>2022</v>
      </c>
      <c r="C89" s="45" t="s">
        <v>363</v>
      </c>
      <c r="D89" s="45">
        <v>2021</v>
      </c>
      <c r="E89" s="45">
        <v>2025</v>
      </c>
      <c r="F89" s="45" t="s">
        <v>320</v>
      </c>
      <c r="G89" s="45" t="s">
        <v>323</v>
      </c>
      <c r="H89" s="46">
        <v>1967</v>
      </c>
      <c r="I89" s="45" t="s">
        <v>358</v>
      </c>
      <c r="J89" s="45" t="s">
        <v>325</v>
      </c>
      <c r="K89" s="35"/>
      <c r="L89" s="35"/>
      <c r="M89" s="50">
        <f t="shared" si="2"/>
        <v>54</v>
      </c>
      <c r="N89" s="50">
        <f t="shared" si="3"/>
        <v>55</v>
      </c>
    </row>
    <row r="90" spans="1:14" hidden="1">
      <c r="A90" s="35" t="s">
        <v>5</v>
      </c>
      <c r="B90" s="39">
        <v>2012</v>
      </c>
      <c r="C90" s="32" t="s">
        <v>380</v>
      </c>
      <c r="D90" s="32">
        <v>2012</v>
      </c>
      <c r="E90" s="32">
        <v>2015</v>
      </c>
      <c r="F90" s="32" t="s">
        <v>321</v>
      </c>
      <c r="G90" s="32" t="s">
        <v>323</v>
      </c>
      <c r="H90" s="38">
        <v>1963</v>
      </c>
      <c r="I90" s="32" t="s">
        <v>324</v>
      </c>
      <c r="J90" s="32" t="s">
        <v>325</v>
      </c>
      <c r="K90" s="32" t="s">
        <v>377</v>
      </c>
      <c r="L90" s="32" t="s">
        <v>327</v>
      </c>
      <c r="M90" s="50">
        <f t="shared" si="2"/>
        <v>49</v>
      </c>
      <c r="N90" s="50">
        <f t="shared" si="3"/>
        <v>49</v>
      </c>
    </row>
    <row r="91" spans="1:14" hidden="1">
      <c r="A91" s="35" t="s">
        <v>5</v>
      </c>
      <c r="B91" s="39">
        <v>2012</v>
      </c>
      <c r="C91" s="32" t="s">
        <v>376</v>
      </c>
      <c r="D91" s="32">
        <v>2009</v>
      </c>
      <c r="E91" s="32">
        <v>2016</v>
      </c>
      <c r="F91" s="32" t="s">
        <v>320</v>
      </c>
      <c r="G91" s="32" t="s">
        <v>323</v>
      </c>
      <c r="H91" s="38">
        <v>1956</v>
      </c>
      <c r="I91" s="32" t="s">
        <v>346</v>
      </c>
      <c r="J91" s="32" t="s">
        <v>325</v>
      </c>
      <c r="K91" s="32" t="s">
        <v>343</v>
      </c>
      <c r="L91" s="32" t="s">
        <v>324</v>
      </c>
      <c r="M91" s="50">
        <f t="shared" si="2"/>
        <v>53</v>
      </c>
      <c r="N91" s="50">
        <f t="shared" si="3"/>
        <v>56</v>
      </c>
    </row>
    <row r="92" spans="1:14" hidden="1">
      <c r="A92" s="35" t="s">
        <v>5</v>
      </c>
      <c r="B92" s="39">
        <v>2013</v>
      </c>
      <c r="C92" s="32" t="s">
        <v>380</v>
      </c>
      <c r="D92" s="32">
        <v>2012</v>
      </c>
      <c r="E92" s="32">
        <v>2015</v>
      </c>
      <c r="F92" s="32" t="s">
        <v>321</v>
      </c>
      <c r="G92" s="32" t="s">
        <v>323</v>
      </c>
      <c r="H92" s="38">
        <v>1963</v>
      </c>
      <c r="I92" s="32" t="s">
        <v>324</v>
      </c>
      <c r="J92" s="32" t="s">
        <v>325</v>
      </c>
      <c r="K92" s="32" t="s">
        <v>377</v>
      </c>
      <c r="L92" s="32" t="s">
        <v>327</v>
      </c>
      <c r="M92" s="50">
        <f t="shared" si="2"/>
        <v>49</v>
      </c>
      <c r="N92" s="50">
        <f t="shared" si="3"/>
        <v>50</v>
      </c>
    </row>
    <row r="93" spans="1:14" hidden="1">
      <c r="A93" s="35" t="s">
        <v>5</v>
      </c>
      <c r="B93" s="39">
        <v>2013</v>
      </c>
      <c r="C93" s="32" t="s">
        <v>376</v>
      </c>
      <c r="D93" s="32">
        <v>2009</v>
      </c>
      <c r="E93" s="32">
        <v>2016</v>
      </c>
      <c r="F93" s="32" t="s">
        <v>320</v>
      </c>
      <c r="G93" s="32" t="s">
        <v>323</v>
      </c>
      <c r="H93" s="38">
        <v>1956</v>
      </c>
      <c r="I93" s="32" t="s">
        <v>346</v>
      </c>
      <c r="J93" s="32" t="s">
        <v>325</v>
      </c>
      <c r="K93" s="32" t="s">
        <v>343</v>
      </c>
      <c r="L93" s="32" t="s">
        <v>324</v>
      </c>
      <c r="M93" s="50">
        <f t="shared" si="2"/>
        <v>53</v>
      </c>
      <c r="N93" s="50">
        <f t="shared" si="3"/>
        <v>57</v>
      </c>
    </row>
    <row r="94" spans="1:14" hidden="1">
      <c r="A94" s="35" t="s">
        <v>5</v>
      </c>
      <c r="B94" s="39">
        <v>2014</v>
      </c>
      <c r="C94" s="32" t="s">
        <v>380</v>
      </c>
      <c r="D94" s="32">
        <v>2012</v>
      </c>
      <c r="E94" s="32">
        <v>2015</v>
      </c>
      <c r="F94" s="32" t="s">
        <v>321</v>
      </c>
      <c r="G94" s="32" t="s">
        <v>323</v>
      </c>
      <c r="H94" s="38">
        <v>1963</v>
      </c>
      <c r="I94" s="32" t="s">
        <v>324</v>
      </c>
      <c r="J94" s="32" t="s">
        <v>325</v>
      </c>
      <c r="K94" s="32" t="s">
        <v>377</v>
      </c>
      <c r="L94" s="32" t="s">
        <v>327</v>
      </c>
      <c r="M94" s="50">
        <f t="shared" si="2"/>
        <v>49</v>
      </c>
      <c r="N94" s="50">
        <f t="shared" si="3"/>
        <v>51</v>
      </c>
    </row>
    <row r="95" spans="1:14" hidden="1">
      <c r="A95" s="35" t="s">
        <v>5</v>
      </c>
      <c r="B95" s="39">
        <v>2014</v>
      </c>
      <c r="C95" s="32" t="s">
        <v>376</v>
      </c>
      <c r="D95" s="32">
        <v>2009</v>
      </c>
      <c r="E95" s="32">
        <v>2016</v>
      </c>
      <c r="F95" s="32" t="s">
        <v>320</v>
      </c>
      <c r="G95" s="32" t="s">
        <v>323</v>
      </c>
      <c r="H95" s="38">
        <v>1956</v>
      </c>
      <c r="I95" s="32" t="s">
        <v>346</v>
      </c>
      <c r="J95" s="32" t="s">
        <v>325</v>
      </c>
      <c r="K95" s="32" t="s">
        <v>343</v>
      </c>
      <c r="L95" s="32" t="s">
        <v>324</v>
      </c>
      <c r="M95" s="50">
        <f t="shared" si="2"/>
        <v>53</v>
      </c>
      <c r="N95" s="50">
        <f t="shared" si="3"/>
        <v>58</v>
      </c>
    </row>
    <row r="96" spans="1:14" hidden="1">
      <c r="A96" s="36" t="s">
        <v>5</v>
      </c>
      <c r="B96" s="39">
        <v>2015</v>
      </c>
      <c r="C96" s="32" t="s">
        <v>380</v>
      </c>
      <c r="D96" s="32">
        <v>2012</v>
      </c>
      <c r="E96" s="32">
        <v>2015</v>
      </c>
      <c r="F96" s="32" t="s">
        <v>321</v>
      </c>
      <c r="G96" s="32" t="s">
        <v>323</v>
      </c>
      <c r="H96" s="38">
        <v>1963</v>
      </c>
      <c r="I96" s="32" t="s">
        <v>324</v>
      </c>
      <c r="J96" s="32" t="s">
        <v>325</v>
      </c>
      <c r="K96" s="32" t="s">
        <v>377</v>
      </c>
      <c r="L96" s="32" t="s">
        <v>327</v>
      </c>
      <c r="M96" s="50">
        <f t="shared" si="2"/>
        <v>49</v>
      </c>
      <c r="N96" s="50">
        <f t="shared" si="3"/>
        <v>52</v>
      </c>
    </row>
    <row r="97" spans="1:14" hidden="1">
      <c r="A97" s="36" t="s">
        <v>5</v>
      </c>
      <c r="B97" s="39">
        <v>2015</v>
      </c>
      <c r="C97" s="32" t="s">
        <v>343</v>
      </c>
      <c r="D97" s="32">
        <v>2016</v>
      </c>
      <c r="E97" s="32">
        <v>2018</v>
      </c>
      <c r="F97" s="32" t="s">
        <v>320</v>
      </c>
      <c r="G97" s="32" t="s">
        <v>323</v>
      </c>
      <c r="H97" s="38">
        <v>1964</v>
      </c>
      <c r="I97" s="32" t="s">
        <v>324</v>
      </c>
      <c r="J97" s="32" t="s">
        <v>340</v>
      </c>
      <c r="K97" s="32" t="s">
        <v>377</v>
      </c>
      <c r="L97" s="32" t="s">
        <v>327</v>
      </c>
      <c r="M97" s="50">
        <f t="shared" ref="M97" si="4">D97-H97</f>
        <v>52</v>
      </c>
      <c r="N97" s="50">
        <f t="shared" ref="N97" si="5">B97-H97</f>
        <v>51</v>
      </c>
    </row>
    <row r="98" spans="1:14" hidden="1">
      <c r="A98" s="36" t="s">
        <v>5</v>
      </c>
      <c r="B98" s="39">
        <v>2016</v>
      </c>
      <c r="C98" s="32" t="s">
        <v>377</v>
      </c>
      <c r="D98" s="32">
        <v>2015</v>
      </c>
      <c r="E98" s="32">
        <v>2018</v>
      </c>
      <c r="F98" s="32" t="s">
        <v>321</v>
      </c>
      <c r="G98" s="32" t="s">
        <v>323</v>
      </c>
      <c r="H98" s="38">
        <v>1962</v>
      </c>
      <c r="I98" s="32" t="s">
        <v>327</v>
      </c>
      <c r="J98" s="32" t="s">
        <v>340</v>
      </c>
      <c r="K98" s="32" t="s">
        <v>378</v>
      </c>
      <c r="L98" s="32" t="s">
        <v>379</v>
      </c>
      <c r="M98" s="50">
        <f t="shared" si="2"/>
        <v>53</v>
      </c>
      <c r="N98" s="50">
        <f t="shared" si="3"/>
        <v>54</v>
      </c>
    </row>
    <row r="99" spans="1:14" hidden="1">
      <c r="A99" s="36" t="s">
        <v>5</v>
      </c>
      <c r="B99" s="39">
        <v>2016</v>
      </c>
      <c r="C99" s="32" t="s">
        <v>343</v>
      </c>
      <c r="D99" s="32">
        <v>2016</v>
      </c>
      <c r="E99" s="32">
        <v>2018</v>
      </c>
      <c r="F99" s="32" t="s">
        <v>320</v>
      </c>
      <c r="G99" s="32" t="s">
        <v>323</v>
      </c>
      <c r="H99" s="38">
        <v>1964</v>
      </c>
      <c r="I99" s="32" t="s">
        <v>324</v>
      </c>
      <c r="J99" s="32" t="s">
        <v>340</v>
      </c>
      <c r="K99" s="32" t="s">
        <v>377</v>
      </c>
      <c r="L99" s="32" t="s">
        <v>327</v>
      </c>
      <c r="M99" s="50">
        <f t="shared" si="2"/>
        <v>52</v>
      </c>
      <c r="N99" s="50">
        <f t="shared" si="3"/>
        <v>52</v>
      </c>
    </row>
    <row r="100" spans="1:14" hidden="1">
      <c r="A100" s="36" t="s">
        <v>5</v>
      </c>
      <c r="B100" s="39">
        <v>2017</v>
      </c>
      <c r="C100" s="32" t="s">
        <v>377</v>
      </c>
      <c r="D100" s="32">
        <v>2015</v>
      </c>
      <c r="E100" s="32">
        <v>2018</v>
      </c>
      <c r="F100" s="32" t="s">
        <v>321</v>
      </c>
      <c r="G100" s="32" t="s">
        <v>323</v>
      </c>
      <c r="H100" s="38">
        <v>1962</v>
      </c>
      <c r="I100" s="32" t="s">
        <v>327</v>
      </c>
      <c r="J100" s="32" t="s">
        <v>340</v>
      </c>
      <c r="K100" s="32" t="s">
        <v>378</v>
      </c>
      <c r="L100" s="32" t="s">
        <v>379</v>
      </c>
      <c r="M100" s="50">
        <f t="shared" si="2"/>
        <v>53</v>
      </c>
      <c r="N100" s="50">
        <f t="shared" si="3"/>
        <v>55</v>
      </c>
    </row>
    <row r="101" spans="1:14" hidden="1">
      <c r="A101" s="36" t="s">
        <v>5</v>
      </c>
      <c r="B101" s="39">
        <v>2017</v>
      </c>
      <c r="C101" s="32" t="s">
        <v>343</v>
      </c>
      <c r="D101" s="32">
        <v>2016</v>
      </c>
      <c r="E101" s="32">
        <v>2018</v>
      </c>
      <c r="F101" s="32" t="s">
        <v>320</v>
      </c>
      <c r="G101" s="32" t="s">
        <v>323</v>
      </c>
      <c r="H101" s="38">
        <v>1964</v>
      </c>
      <c r="I101" s="32" t="s">
        <v>324</v>
      </c>
      <c r="J101" s="32" t="s">
        <v>340</v>
      </c>
      <c r="K101" s="32" t="s">
        <v>377</v>
      </c>
      <c r="L101" s="32" t="s">
        <v>327</v>
      </c>
      <c r="M101" s="50">
        <f t="shared" si="2"/>
        <v>52</v>
      </c>
      <c r="N101" s="50">
        <f t="shared" si="3"/>
        <v>53</v>
      </c>
    </row>
    <row r="102" spans="1:14" hidden="1">
      <c r="A102" s="36" t="s">
        <v>5</v>
      </c>
      <c r="B102" s="39">
        <v>2018</v>
      </c>
      <c r="C102" s="32" t="s">
        <v>378</v>
      </c>
      <c r="D102" s="32">
        <v>2018</v>
      </c>
      <c r="E102" s="32">
        <v>2021</v>
      </c>
      <c r="F102" s="32" t="s">
        <v>321</v>
      </c>
      <c r="G102" s="32" t="s">
        <v>323</v>
      </c>
      <c r="H102" s="38">
        <v>1969</v>
      </c>
      <c r="I102" s="32" t="s">
        <v>379</v>
      </c>
      <c r="J102" s="32" t="s">
        <v>325</v>
      </c>
      <c r="K102" s="32" t="s">
        <v>381</v>
      </c>
      <c r="L102" s="32" t="s">
        <v>348</v>
      </c>
      <c r="M102" s="50">
        <f t="shared" si="2"/>
        <v>49</v>
      </c>
      <c r="N102" s="50">
        <f t="shared" si="3"/>
        <v>49</v>
      </c>
    </row>
    <row r="103" spans="1:14" hidden="1">
      <c r="A103" s="36" t="s">
        <v>5</v>
      </c>
      <c r="B103" s="39">
        <v>2018</v>
      </c>
      <c r="C103" s="32" t="s">
        <v>377</v>
      </c>
      <c r="D103" s="32">
        <v>2018</v>
      </c>
      <c r="E103" s="32">
        <v>2021</v>
      </c>
      <c r="F103" s="32" t="s">
        <v>320</v>
      </c>
      <c r="G103" s="32" t="s">
        <v>323</v>
      </c>
      <c r="H103" s="38">
        <v>1962</v>
      </c>
      <c r="I103" s="32" t="s">
        <v>327</v>
      </c>
      <c r="J103" s="32" t="s">
        <v>340</v>
      </c>
      <c r="K103" s="32" t="s">
        <v>378</v>
      </c>
      <c r="L103" s="32" t="s">
        <v>379</v>
      </c>
      <c r="M103" s="50">
        <f t="shared" si="2"/>
        <v>56</v>
      </c>
      <c r="N103" s="50">
        <f t="shared" si="3"/>
        <v>56</v>
      </c>
    </row>
    <row r="104" spans="1:14" hidden="1">
      <c r="A104" s="36" t="s">
        <v>5</v>
      </c>
      <c r="B104" s="39">
        <v>2019</v>
      </c>
      <c r="C104" s="32" t="s">
        <v>378</v>
      </c>
      <c r="D104" s="32">
        <v>2018</v>
      </c>
      <c r="E104" s="32">
        <v>2021</v>
      </c>
      <c r="F104" s="32" t="s">
        <v>321</v>
      </c>
      <c r="G104" s="32" t="s">
        <v>323</v>
      </c>
      <c r="H104" s="38">
        <v>1969</v>
      </c>
      <c r="I104" s="32" t="s">
        <v>379</v>
      </c>
      <c r="J104" s="32" t="s">
        <v>325</v>
      </c>
      <c r="K104" s="32" t="s">
        <v>381</v>
      </c>
      <c r="L104" s="32" t="s">
        <v>348</v>
      </c>
      <c r="M104" s="50">
        <f t="shared" si="2"/>
        <v>49</v>
      </c>
      <c r="N104" s="50">
        <f t="shared" si="3"/>
        <v>50</v>
      </c>
    </row>
    <row r="105" spans="1:14" hidden="1">
      <c r="A105" s="36" t="s">
        <v>5</v>
      </c>
      <c r="B105" s="39">
        <v>2019</v>
      </c>
      <c r="C105" s="32" t="s">
        <v>377</v>
      </c>
      <c r="D105" s="32">
        <v>2018</v>
      </c>
      <c r="E105" s="32">
        <v>2021</v>
      </c>
      <c r="F105" s="32" t="s">
        <v>320</v>
      </c>
      <c r="G105" s="32" t="s">
        <v>323</v>
      </c>
      <c r="H105" s="38">
        <v>1962</v>
      </c>
      <c r="I105" s="32" t="s">
        <v>327</v>
      </c>
      <c r="J105" s="32" t="s">
        <v>340</v>
      </c>
      <c r="K105" s="32" t="s">
        <v>378</v>
      </c>
      <c r="L105" s="32" t="s">
        <v>379</v>
      </c>
      <c r="M105" s="50">
        <f t="shared" si="2"/>
        <v>56</v>
      </c>
      <c r="N105" s="50">
        <f t="shared" si="3"/>
        <v>57</v>
      </c>
    </row>
    <row r="106" spans="1:14" hidden="1">
      <c r="A106" s="36" t="s">
        <v>5</v>
      </c>
      <c r="B106" s="39">
        <v>2020</v>
      </c>
      <c r="C106" s="32" t="s">
        <v>378</v>
      </c>
      <c r="D106" s="32">
        <v>2018</v>
      </c>
      <c r="E106" s="32">
        <v>2021</v>
      </c>
      <c r="F106" s="32" t="s">
        <v>321</v>
      </c>
      <c r="G106" s="32" t="s">
        <v>323</v>
      </c>
      <c r="H106" s="38">
        <v>1969</v>
      </c>
      <c r="I106" s="32" t="s">
        <v>379</v>
      </c>
      <c r="J106" s="32" t="s">
        <v>325</v>
      </c>
      <c r="K106" s="32" t="s">
        <v>381</v>
      </c>
      <c r="L106" s="32" t="s">
        <v>348</v>
      </c>
      <c r="M106" s="50">
        <f t="shared" si="2"/>
        <v>49</v>
      </c>
      <c r="N106" s="50">
        <f t="shared" si="3"/>
        <v>51</v>
      </c>
    </row>
    <row r="107" spans="1:14" hidden="1">
      <c r="A107" s="36" t="s">
        <v>5</v>
      </c>
      <c r="B107" s="39">
        <v>2020</v>
      </c>
      <c r="C107" s="32" t="s">
        <v>377</v>
      </c>
      <c r="D107" s="32">
        <v>2018</v>
      </c>
      <c r="E107" s="32">
        <v>2021</v>
      </c>
      <c r="F107" s="32" t="s">
        <v>320</v>
      </c>
      <c r="G107" s="32" t="s">
        <v>323</v>
      </c>
      <c r="H107" s="38">
        <v>1962</v>
      </c>
      <c r="I107" s="32" t="s">
        <v>327</v>
      </c>
      <c r="J107" s="32" t="s">
        <v>340</v>
      </c>
      <c r="K107" s="32" t="s">
        <v>378</v>
      </c>
      <c r="L107" s="32" t="s">
        <v>379</v>
      </c>
      <c r="M107" s="50">
        <f t="shared" si="2"/>
        <v>56</v>
      </c>
      <c r="N107" s="50">
        <f t="shared" si="3"/>
        <v>58</v>
      </c>
    </row>
    <row r="108" spans="1:14" hidden="1">
      <c r="A108" s="36" t="s">
        <v>5</v>
      </c>
      <c r="B108" s="39">
        <v>2021</v>
      </c>
      <c r="C108" s="32" t="s">
        <v>378</v>
      </c>
      <c r="D108" s="32">
        <v>2018</v>
      </c>
      <c r="E108" s="32">
        <v>2021</v>
      </c>
      <c r="F108" s="32" t="s">
        <v>321</v>
      </c>
      <c r="G108" s="32" t="s">
        <v>323</v>
      </c>
      <c r="H108" s="38">
        <v>1969</v>
      </c>
      <c r="I108" s="32" t="s">
        <v>379</v>
      </c>
      <c r="J108" s="32" t="s">
        <v>325</v>
      </c>
      <c r="K108" s="32" t="s">
        <v>381</v>
      </c>
      <c r="L108" s="32" t="s">
        <v>348</v>
      </c>
      <c r="M108" s="50">
        <f t="shared" si="2"/>
        <v>49</v>
      </c>
      <c r="N108" s="50">
        <f t="shared" si="3"/>
        <v>52</v>
      </c>
    </row>
    <row r="109" spans="1:14" hidden="1">
      <c r="A109" s="36" t="s">
        <v>5</v>
      </c>
      <c r="B109" s="39">
        <v>2021</v>
      </c>
      <c r="C109" s="32" t="s">
        <v>377</v>
      </c>
      <c r="D109" s="32">
        <v>2018</v>
      </c>
      <c r="E109" s="32">
        <v>2021</v>
      </c>
      <c r="F109" s="32" t="s">
        <v>320</v>
      </c>
      <c r="G109" s="32" t="s">
        <v>323</v>
      </c>
      <c r="H109" s="38">
        <v>1962</v>
      </c>
      <c r="I109" s="32" t="s">
        <v>327</v>
      </c>
      <c r="J109" s="32" t="s">
        <v>340</v>
      </c>
      <c r="K109" s="32" t="s">
        <v>378</v>
      </c>
      <c r="L109" s="32" t="s">
        <v>379</v>
      </c>
      <c r="M109" s="50">
        <f t="shared" si="2"/>
        <v>56</v>
      </c>
      <c r="N109" s="50">
        <f t="shared" si="3"/>
        <v>59</v>
      </c>
    </row>
    <row r="110" spans="1:14" hidden="1">
      <c r="A110" s="36" t="s">
        <v>5</v>
      </c>
      <c r="B110" s="39">
        <v>2022</v>
      </c>
      <c r="C110" s="35"/>
      <c r="D110" s="35"/>
      <c r="E110" s="35"/>
      <c r="F110" s="35" t="s">
        <v>321</v>
      </c>
      <c r="G110" s="35"/>
      <c r="H110" s="39"/>
      <c r="I110" s="35"/>
      <c r="J110" s="35"/>
      <c r="K110" s="35"/>
      <c r="L110" s="35"/>
      <c r="M110" s="50"/>
      <c r="N110" s="50"/>
    </row>
    <row r="111" spans="1:14" hidden="1">
      <c r="A111" s="36" t="s">
        <v>5</v>
      </c>
      <c r="B111" s="49">
        <v>2022</v>
      </c>
      <c r="C111" s="48" t="s">
        <v>441</v>
      </c>
      <c r="D111" s="48">
        <v>2021</v>
      </c>
      <c r="E111" s="48">
        <v>2025</v>
      </c>
      <c r="F111" s="48" t="s">
        <v>320</v>
      </c>
      <c r="G111" s="48" t="s">
        <v>323</v>
      </c>
      <c r="H111" s="47">
        <v>1969</v>
      </c>
      <c r="I111" s="48" t="s">
        <v>442</v>
      </c>
      <c r="J111" s="48" t="s">
        <v>325</v>
      </c>
      <c r="K111" s="35"/>
      <c r="L111" s="35"/>
      <c r="M111" s="50">
        <f t="shared" si="2"/>
        <v>52</v>
      </c>
      <c r="N111" s="50">
        <f t="shared" si="3"/>
        <v>53</v>
      </c>
    </row>
    <row r="112" spans="1:14" hidden="1">
      <c r="A112" s="35" t="s">
        <v>6</v>
      </c>
      <c r="B112" s="39">
        <v>2012</v>
      </c>
      <c r="C112" s="32" t="s">
        <v>384</v>
      </c>
      <c r="D112" s="32">
        <v>2012</v>
      </c>
      <c r="E112" s="32">
        <v>2016</v>
      </c>
      <c r="F112" s="32" t="s">
        <v>321</v>
      </c>
      <c r="G112" s="32" t="s">
        <v>323</v>
      </c>
      <c r="H112" s="38">
        <v>1956</v>
      </c>
      <c r="I112" s="32" t="s">
        <v>331</v>
      </c>
      <c r="J112" s="32" t="s">
        <v>325</v>
      </c>
      <c r="K112" s="32" t="s">
        <v>356</v>
      </c>
      <c r="L112" s="32" t="s">
        <v>327</v>
      </c>
      <c r="M112" s="50">
        <f t="shared" si="2"/>
        <v>56</v>
      </c>
      <c r="N112" s="50">
        <f t="shared" si="3"/>
        <v>56</v>
      </c>
    </row>
    <row r="113" spans="1:14" hidden="1">
      <c r="A113" s="35" t="s">
        <v>6</v>
      </c>
      <c r="B113" s="39">
        <v>2012</v>
      </c>
      <c r="C113" s="32" t="s">
        <v>385</v>
      </c>
      <c r="D113" s="32">
        <v>2012</v>
      </c>
      <c r="E113" s="32">
        <v>2019</v>
      </c>
      <c r="F113" s="32" t="s">
        <v>320</v>
      </c>
      <c r="G113" s="32" t="s">
        <v>323</v>
      </c>
      <c r="H113" s="38">
        <v>1966</v>
      </c>
      <c r="I113" s="32" t="s">
        <v>342</v>
      </c>
      <c r="J113" s="32" t="s">
        <v>325</v>
      </c>
      <c r="K113" s="32" t="s">
        <v>338</v>
      </c>
      <c r="L113" s="32" t="s">
        <v>339</v>
      </c>
      <c r="M113" s="50">
        <f t="shared" si="2"/>
        <v>46</v>
      </c>
      <c r="N113" s="50">
        <f t="shared" si="3"/>
        <v>46</v>
      </c>
    </row>
    <row r="114" spans="1:14" hidden="1">
      <c r="A114" s="35" t="s">
        <v>6</v>
      </c>
      <c r="B114" s="39">
        <v>2013</v>
      </c>
      <c r="C114" s="32" t="s">
        <v>384</v>
      </c>
      <c r="D114" s="32">
        <v>2012</v>
      </c>
      <c r="E114" s="32">
        <v>2016</v>
      </c>
      <c r="F114" s="32" t="s">
        <v>321</v>
      </c>
      <c r="G114" s="32" t="s">
        <v>323</v>
      </c>
      <c r="H114" s="38">
        <v>1956</v>
      </c>
      <c r="I114" s="32" t="s">
        <v>331</v>
      </c>
      <c r="J114" s="32" t="s">
        <v>325</v>
      </c>
      <c r="K114" s="32" t="s">
        <v>356</v>
      </c>
      <c r="L114" s="32" t="s">
        <v>327</v>
      </c>
      <c r="M114" s="50">
        <f t="shared" si="2"/>
        <v>56</v>
      </c>
      <c r="N114" s="50">
        <f t="shared" si="3"/>
        <v>57</v>
      </c>
    </row>
    <row r="115" spans="1:14" hidden="1">
      <c r="A115" s="35" t="s">
        <v>6</v>
      </c>
      <c r="B115" s="39">
        <v>2013</v>
      </c>
      <c r="C115" s="32" t="s">
        <v>385</v>
      </c>
      <c r="D115" s="32">
        <v>2012</v>
      </c>
      <c r="E115" s="32">
        <v>2019</v>
      </c>
      <c r="F115" s="32" t="s">
        <v>320</v>
      </c>
      <c r="G115" s="32" t="s">
        <v>323</v>
      </c>
      <c r="H115" s="38">
        <v>1966</v>
      </c>
      <c r="I115" s="32" t="s">
        <v>342</v>
      </c>
      <c r="J115" s="32" t="s">
        <v>325</v>
      </c>
      <c r="K115" s="32" t="s">
        <v>338</v>
      </c>
      <c r="L115" s="32" t="s">
        <v>339</v>
      </c>
      <c r="M115" s="50">
        <f t="shared" si="2"/>
        <v>46</v>
      </c>
      <c r="N115" s="50">
        <f t="shared" si="3"/>
        <v>47</v>
      </c>
    </row>
    <row r="116" spans="1:14" hidden="1">
      <c r="A116" s="35" t="s">
        <v>6</v>
      </c>
      <c r="B116" s="39">
        <v>2014</v>
      </c>
      <c r="C116" s="32" t="s">
        <v>384</v>
      </c>
      <c r="D116" s="32">
        <v>2012</v>
      </c>
      <c r="E116" s="32">
        <v>2016</v>
      </c>
      <c r="F116" s="32" t="s">
        <v>321</v>
      </c>
      <c r="G116" s="32" t="s">
        <v>323</v>
      </c>
      <c r="H116" s="38">
        <v>1956</v>
      </c>
      <c r="I116" s="32" t="s">
        <v>331</v>
      </c>
      <c r="J116" s="32" t="s">
        <v>325</v>
      </c>
      <c r="K116" s="32" t="s">
        <v>356</v>
      </c>
      <c r="L116" s="32" t="s">
        <v>327</v>
      </c>
      <c r="M116" s="50">
        <f t="shared" si="2"/>
        <v>56</v>
      </c>
      <c r="N116" s="50">
        <f t="shared" si="3"/>
        <v>58</v>
      </c>
    </row>
    <row r="117" spans="1:14" hidden="1">
      <c r="A117" s="35" t="s">
        <v>6</v>
      </c>
      <c r="B117" s="39">
        <v>2014</v>
      </c>
      <c r="C117" s="32" t="s">
        <v>385</v>
      </c>
      <c r="D117" s="32">
        <v>2012</v>
      </c>
      <c r="E117" s="32">
        <v>2019</v>
      </c>
      <c r="F117" s="32" t="s">
        <v>320</v>
      </c>
      <c r="G117" s="32" t="s">
        <v>323</v>
      </c>
      <c r="H117" s="38">
        <v>1966</v>
      </c>
      <c r="I117" s="32" t="s">
        <v>342</v>
      </c>
      <c r="J117" s="32" t="s">
        <v>325</v>
      </c>
      <c r="K117" s="32" t="s">
        <v>338</v>
      </c>
      <c r="L117" s="32" t="s">
        <v>339</v>
      </c>
      <c r="M117" s="50">
        <f t="shared" si="2"/>
        <v>46</v>
      </c>
      <c r="N117" s="50">
        <f t="shared" si="3"/>
        <v>48</v>
      </c>
    </row>
    <row r="118" spans="1:14" hidden="1">
      <c r="A118" s="36" t="s">
        <v>6</v>
      </c>
      <c r="B118" s="39">
        <v>2015</v>
      </c>
      <c r="C118" s="32" t="s">
        <v>384</v>
      </c>
      <c r="D118" s="32">
        <v>2012</v>
      </c>
      <c r="E118" s="32">
        <v>2016</v>
      </c>
      <c r="F118" s="32" t="s">
        <v>321</v>
      </c>
      <c r="G118" s="32" t="s">
        <v>323</v>
      </c>
      <c r="H118" s="38">
        <v>1956</v>
      </c>
      <c r="I118" s="32" t="s">
        <v>331</v>
      </c>
      <c r="J118" s="32" t="s">
        <v>325</v>
      </c>
      <c r="K118" s="32" t="s">
        <v>356</v>
      </c>
      <c r="L118" s="32" t="s">
        <v>327</v>
      </c>
      <c r="M118" s="50">
        <f t="shared" si="2"/>
        <v>56</v>
      </c>
      <c r="N118" s="50">
        <f t="shared" si="3"/>
        <v>59</v>
      </c>
    </row>
    <row r="119" spans="1:14" hidden="1">
      <c r="A119" s="36" t="s">
        <v>6</v>
      </c>
      <c r="B119" s="39">
        <v>2015</v>
      </c>
      <c r="C119" s="32" t="s">
        <v>385</v>
      </c>
      <c r="D119" s="32">
        <v>2012</v>
      </c>
      <c r="E119" s="32">
        <v>2019</v>
      </c>
      <c r="F119" s="32" t="s">
        <v>320</v>
      </c>
      <c r="G119" s="32" t="s">
        <v>323</v>
      </c>
      <c r="H119" s="38">
        <v>1966</v>
      </c>
      <c r="I119" s="32" t="s">
        <v>342</v>
      </c>
      <c r="J119" s="32" t="s">
        <v>325</v>
      </c>
      <c r="K119" s="32" t="s">
        <v>338</v>
      </c>
      <c r="L119" s="32" t="s">
        <v>339</v>
      </c>
      <c r="M119" s="50">
        <f t="shared" si="2"/>
        <v>46</v>
      </c>
      <c r="N119" s="50">
        <f t="shared" si="3"/>
        <v>49</v>
      </c>
    </row>
    <row r="120" spans="1:14" hidden="1">
      <c r="A120" s="36" t="s">
        <v>6</v>
      </c>
      <c r="B120" s="39">
        <v>2016</v>
      </c>
      <c r="C120" s="32" t="s">
        <v>384</v>
      </c>
      <c r="D120" s="32">
        <v>2012</v>
      </c>
      <c r="E120" s="32">
        <v>2016</v>
      </c>
      <c r="F120" s="32" t="s">
        <v>321</v>
      </c>
      <c r="G120" s="32" t="s">
        <v>323</v>
      </c>
      <c r="H120" s="38">
        <v>1956</v>
      </c>
      <c r="I120" s="32" t="s">
        <v>331</v>
      </c>
      <c r="J120" s="32" t="s">
        <v>325</v>
      </c>
      <c r="K120" s="32" t="s">
        <v>356</v>
      </c>
      <c r="L120" s="32" t="s">
        <v>327</v>
      </c>
      <c r="M120" s="50">
        <f t="shared" si="2"/>
        <v>56</v>
      </c>
      <c r="N120" s="50">
        <f t="shared" si="3"/>
        <v>60</v>
      </c>
    </row>
    <row r="121" spans="1:14" hidden="1">
      <c r="A121" s="36" t="s">
        <v>6</v>
      </c>
      <c r="B121" s="39">
        <v>2016</v>
      </c>
      <c r="C121" s="32" t="s">
        <v>385</v>
      </c>
      <c r="D121" s="32">
        <v>2012</v>
      </c>
      <c r="E121" s="32">
        <v>2019</v>
      </c>
      <c r="F121" s="32" t="s">
        <v>320</v>
      </c>
      <c r="G121" s="32" t="s">
        <v>323</v>
      </c>
      <c r="H121" s="38">
        <v>1966</v>
      </c>
      <c r="I121" s="32" t="s">
        <v>342</v>
      </c>
      <c r="J121" s="32" t="s">
        <v>325</v>
      </c>
      <c r="K121" s="32" t="s">
        <v>338</v>
      </c>
      <c r="L121" s="32" t="s">
        <v>339</v>
      </c>
      <c r="M121" s="50">
        <f t="shared" si="2"/>
        <v>46</v>
      </c>
      <c r="N121" s="50">
        <f t="shared" si="3"/>
        <v>50</v>
      </c>
    </row>
    <row r="122" spans="1:14" hidden="1">
      <c r="A122" s="36" t="s">
        <v>6</v>
      </c>
      <c r="B122" s="39">
        <v>2017</v>
      </c>
      <c r="C122" s="32" t="s">
        <v>356</v>
      </c>
      <c r="D122" s="32">
        <v>2016</v>
      </c>
      <c r="E122" s="32">
        <v>2018</v>
      </c>
      <c r="F122" s="32" t="s">
        <v>321</v>
      </c>
      <c r="G122" s="32" t="s">
        <v>323</v>
      </c>
      <c r="H122" s="38">
        <v>1964</v>
      </c>
      <c r="I122" s="32" t="s">
        <v>327</v>
      </c>
      <c r="J122" s="32" t="s">
        <v>325</v>
      </c>
      <c r="K122" s="32" t="s">
        <v>338</v>
      </c>
      <c r="L122" s="32" t="s">
        <v>339</v>
      </c>
      <c r="M122" s="50">
        <f t="shared" si="2"/>
        <v>52</v>
      </c>
      <c r="N122" s="50">
        <f t="shared" si="3"/>
        <v>53</v>
      </c>
    </row>
    <row r="123" spans="1:14" hidden="1">
      <c r="A123" s="36" t="s">
        <v>6</v>
      </c>
      <c r="B123" s="39">
        <v>2017</v>
      </c>
      <c r="C123" s="32" t="s">
        <v>385</v>
      </c>
      <c r="D123" s="32">
        <v>2012</v>
      </c>
      <c r="E123" s="32">
        <v>2019</v>
      </c>
      <c r="F123" s="32" t="s">
        <v>320</v>
      </c>
      <c r="G123" s="32" t="s">
        <v>323</v>
      </c>
      <c r="H123" s="38">
        <v>1966</v>
      </c>
      <c r="I123" s="32" t="s">
        <v>342</v>
      </c>
      <c r="J123" s="32" t="s">
        <v>325</v>
      </c>
      <c r="K123" s="32" t="s">
        <v>338</v>
      </c>
      <c r="L123" s="32" t="s">
        <v>339</v>
      </c>
      <c r="M123" s="50">
        <f t="shared" si="2"/>
        <v>46</v>
      </c>
      <c r="N123" s="50">
        <f t="shared" si="3"/>
        <v>51</v>
      </c>
    </row>
    <row r="124" spans="1:14" hidden="1">
      <c r="A124" s="36" t="s">
        <v>6</v>
      </c>
      <c r="B124" s="39">
        <v>2018</v>
      </c>
      <c r="C124" s="32" t="s">
        <v>338</v>
      </c>
      <c r="D124" s="32">
        <v>2018</v>
      </c>
      <c r="E124" s="32">
        <v>2019</v>
      </c>
      <c r="F124" s="32" t="s">
        <v>321</v>
      </c>
      <c r="G124" s="32" t="s">
        <v>323</v>
      </c>
      <c r="H124" s="38">
        <v>1965</v>
      </c>
      <c r="I124" s="32" t="s">
        <v>339</v>
      </c>
      <c r="J124" s="32" t="s">
        <v>325</v>
      </c>
      <c r="K124" s="32" t="s">
        <v>382</v>
      </c>
      <c r="L124" s="32" t="s">
        <v>332</v>
      </c>
      <c r="M124" s="50">
        <f t="shared" si="2"/>
        <v>53</v>
      </c>
      <c r="N124" s="50">
        <f t="shared" si="3"/>
        <v>53</v>
      </c>
    </row>
    <row r="125" spans="1:14" hidden="1">
      <c r="A125" s="36" t="s">
        <v>6</v>
      </c>
      <c r="B125" s="39">
        <v>2018</v>
      </c>
      <c r="C125" s="32" t="s">
        <v>385</v>
      </c>
      <c r="D125" s="32">
        <v>2012</v>
      </c>
      <c r="E125" s="32">
        <v>2019</v>
      </c>
      <c r="F125" s="32" t="s">
        <v>320</v>
      </c>
      <c r="G125" s="32" t="s">
        <v>323</v>
      </c>
      <c r="H125" s="38">
        <v>1966</v>
      </c>
      <c r="I125" s="32" t="s">
        <v>342</v>
      </c>
      <c r="J125" s="32" t="s">
        <v>325</v>
      </c>
      <c r="K125" s="32" t="s">
        <v>338</v>
      </c>
      <c r="L125" s="32" t="s">
        <v>339</v>
      </c>
      <c r="M125" s="50">
        <f t="shared" si="2"/>
        <v>46</v>
      </c>
      <c r="N125" s="50">
        <f t="shared" si="3"/>
        <v>52</v>
      </c>
    </row>
    <row r="126" spans="1:14" hidden="1">
      <c r="A126" s="36" t="s">
        <v>6</v>
      </c>
      <c r="B126" s="39">
        <v>2019</v>
      </c>
      <c r="C126" s="32" t="s">
        <v>338</v>
      </c>
      <c r="D126" s="32">
        <v>2018</v>
      </c>
      <c r="E126" s="32">
        <v>2019</v>
      </c>
      <c r="F126" s="32" t="s">
        <v>321</v>
      </c>
      <c r="G126" s="32" t="s">
        <v>323</v>
      </c>
      <c r="H126" s="38">
        <v>1965</v>
      </c>
      <c r="I126" s="32" t="s">
        <v>339</v>
      </c>
      <c r="J126" s="32" t="s">
        <v>325</v>
      </c>
      <c r="K126" s="32" t="s">
        <v>382</v>
      </c>
      <c r="L126" s="32" t="s">
        <v>332</v>
      </c>
      <c r="M126" s="50">
        <f t="shared" si="2"/>
        <v>53</v>
      </c>
      <c r="N126" s="50">
        <f t="shared" si="3"/>
        <v>54</v>
      </c>
    </row>
    <row r="127" spans="1:14" hidden="1">
      <c r="A127" s="36" t="s">
        <v>6</v>
      </c>
      <c r="B127" s="39">
        <v>2019</v>
      </c>
      <c r="C127" s="32" t="s">
        <v>385</v>
      </c>
      <c r="D127" s="32">
        <v>2012</v>
      </c>
      <c r="E127" s="32">
        <v>2019</v>
      </c>
      <c r="F127" s="32" t="s">
        <v>320</v>
      </c>
      <c r="G127" s="32" t="s">
        <v>323</v>
      </c>
      <c r="H127" s="38">
        <v>1966</v>
      </c>
      <c r="I127" s="32" t="s">
        <v>342</v>
      </c>
      <c r="J127" s="32" t="s">
        <v>325</v>
      </c>
      <c r="K127" s="32" t="s">
        <v>338</v>
      </c>
      <c r="L127" s="32" t="s">
        <v>339</v>
      </c>
      <c r="M127" s="50">
        <f t="shared" si="2"/>
        <v>46</v>
      </c>
      <c r="N127" s="50">
        <f t="shared" si="3"/>
        <v>53</v>
      </c>
    </row>
    <row r="128" spans="1:14" hidden="1">
      <c r="A128" s="36" t="s">
        <v>6</v>
      </c>
      <c r="B128" s="39">
        <v>2020</v>
      </c>
      <c r="C128" s="32" t="s">
        <v>382</v>
      </c>
      <c r="D128" s="32">
        <v>2019</v>
      </c>
      <c r="E128" s="32">
        <v>2021</v>
      </c>
      <c r="F128" s="32" t="s">
        <v>321</v>
      </c>
      <c r="G128" s="32" t="s">
        <v>335</v>
      </c>
      <c r="H128" s="38">
        <v>1967</v>
      </c>
      <c r="I128" s="32" t="s">
        <v>332</v>
      </c>
      <c r="J128" s="32" t="s">
        <v>325</v>
      </c>
      <c r="K128" s="32" t="s">
        <v>383</v>
      </c>
      <c r="L128" s="32" t="s">
        <v>329</v>
      </c>
      <c r="M128" s="50">
        <f t="shared" si="2"/>
        <v>52</v>
      </c>
      <c r="N128" s="50">
        <f t="shared" si="3"/>
        <v>53</v>
      </c>
    </row>
    <row r="129" spans="1:14" hidden="1">
      <c r="A129" s="36" t="s">
        <v>6</v>
      </c>
      <c r="B129" s="39">
        <v>2020</v>
      </c>
      <c r="C129" s="32" t="s">
        <v>338</v>
      </c>
      <c r="D129" s="32">
        <v>2019</v>
      </c>
      <c r="E129" s="32">
        <v>2021</v>
      </c>
      <c r="F129" s="32" t="s">
        <v>320</v>
      </c>
      <c r="G129" s="32" t="s">
        <v>323</v>
      </c>
      <c r="H129" s="38">
        <v>1965</v>
      </c>
      <c r="I129" s="32" t="s">
        <v>339</v>
      </c>
      <c r="J129" s="32" t="s">
        <v>325</v>
      </c>
      <c r="K129" s="32" t="s">
        <v>382</v>
      </c>
      <c r="L129" s="32" t="s">
        <v>332</v>
      </c>
      <c r="M129" s="50">
        <f t="shared" si="2"/>
        <v>54</v>
      </c>
      <c r="N129" s="50">
        <f t="shared" si="3"/>
        <v>55</v>
      </c>
    </row>
    <row r="130" spans="1:14" hidden="1">
      <c r="A130" s="36" t="s">
        <v>6</v>
      </c>
      <c r="B130" s="39">
        <v>2021</v>
      </c>
      <c r="C130" s="32" t="s">
        <v>382</v>
      </c>
      <c r="D130" s="32">
        <v>2019</v>
      </c>
      <c r="E130" s="32">
        <v>2021</v>
      </c>
      <c r="F130" s="32" t="s">
        <v>321</v>
      </c>
      <c r="G130" s="32" t="s">
        <v>335</v>
      </c>
      <c r="H130" s="38">
        <v>1967</v>
      </c>
      <c r="I130" s="32" t="s">
        <v>332</v>
      </c>
      <c r="J130" s="32" t="s">
        <v>325</v>
      </c>
      <c r="K130" s="32" t="s">
        <v>383</v>
      </c>
      <c r="L130" s="32" t="s">
        <v>329</v>
      </c>
      <c r="M130" s="50">
        <f t="shared" si="2"/>
        <v>52</v>
      </c>
      <c r="N130" s="50">
        <f t="shared" si="3"/>
        <v>54</v>
      </c>
    </row>
    <row r="131" spans="1:14" hidden="1">
      <c r="A131" s="36" t="s">
        <v>6</v>
      </c>
      <c r="B131" s="39">
        <v>2021</v>
      </c>
      <c r="C131" s="32" t="s">
        <v>338</v>
      </c>
      <c r="D131" s="32">
        <v>2019</v>
      </c>
      <c r="E131" s="32">
        <v>2021</v>
      </c>
      <c r="F131" s="32" t="s">
        <v>320</v>
      </c>
      <c r="G131" s="32" t="s">
        <v>323</v>
      </c>
      <c r="H131" s="38">
        <v>1965</v>
      </c>
      <c r="I131" s="32" t="s">
        <v>339</v>
      </c>
      <c r="J131" s="32" t="s">
        <v>325</v>
      </c>
      <c r="K131" s="32" t="s">
        <v>382</v>
      </c>
      <c r="L131" s="32" t="s">
        <v>332</v>
      </c>
      <c r="M131" s="50">
        <f t="shared" ref="M131:M194" si="6">D131-H131</f>
        <v>54</v>
      </c>
      <c r="N131" s="50">
        <f t="shared" ref="N131:N194" si="7">B131-H131</f>
        <v>56</v>
      </c>
    </row>
    <row r="132" spans="1:14" hidden="1">
      <c r="A132" s="36" t="s">
        <v>6</v>
      </c>
      <c r="B132" s="39">
        <v>2022</v>
      </c>
      <c r="C132" s="35"/>
      <c r="D132" s="35"/>
      <c r="E132" s="35"/>
      <c r="F132" s="35" t="s">
        <v>321</v>
      </c>
      <c r="G132" s="35"/>
      <c r="H132" s="39"/>
      <c r="I132" s="35"/>
      <c r="J132" s="35"/>
      <c r="K132" s="35"/>
      <c r="L132" s="35"/>
      <c r="M132" s="50"/>
      <c r="N132" s="50"/>
    </row>
    <row r="133" spans="1:14" hidden="1">
      <c r="A133" s="36" t="s">
        <v>6</v>
      </c>
      <c r="B133" s="39">
        <v>2022</v>
      </c>
      <c r="C133" s="35" t="s">
        <v>382</v>
      </c>
      <c r="D133" s="48">
        <v>2021</v>
      </c>
      <c r="E133" s="48">
        <v>2023</v>
      </c>
      <c r="F133" s="48" t="s">
        <v>320</v>
      </c>
      <c r="G133" s="35" t="s">
        <v>335</v>
      </c>
      <c r="H133" s="47">
        <v>1967</v>
      </c>
      <c r="I133" s="35" t="s">
        <v>332</v>
      </c>
      <c r="J133" s="35" t="s">
        <v>325</v>
      </c>
      <c r="K133" s="35"/>
      <c r="L133" s="35"/>
      <c r="M133" s="50">
        <f t="shared" si="6"/>
        <v>54</v>
      </c>
      <c r="N133" s="50">
        <f t="shared" si="7"/>
        <v>55</v>
      </c>
    </row>
    <row r="134" spans="1:14" hidden="1">
      <c r="A134" s="35" t="s">
        <v>7</v>
      </c>
      <c r="B134" s="39">
        <v>2012</v>
      </c>
      <c r="C134" s="32" t="s">
        <v>392</v>
      </c>
      <c r="D134" s="32">
        <v>2011</v>
      </c>
      <c r="E134" s="32">
        <v>2013</v>
      </c>
      <c r="F134" s="32" t="s">
        <v>321</v>
      </c>
      <c r="G134" s="32" t="s">
        <v>323</v>
      </c>
      <c r="H134" s="38">
        <v>1957</v>
      </c>
      <c r="I134" s="32" t="s">
        <v>367</v>
      </c>
      <c r="J134" s="32" t="s">
        <v>325</v>
      </c>
      <c r="K134" s="32" t="s">
        <v>372</v>
      </c>
      <c r="L134" s="32" t="s">
        <v>373</v>
      </c>
      <c r="M134" s="50">
        <f t="shared" si="6"/>
        <v>54</v>
      </c>
      <c r="N134" s="50">
        <f t="shared" si="7"/>
        <v>55</v>
      </c>
    </row>
    <row r="135" spans="1:14" hidden="1">
      <c r="A135" s="35" t="s">
        <v>7</v>
      </c>
      <c r="B135" s="39">
        <v>2012</v>
      </c>
      <c r="C135" s="32" t="s">
        <v>330</v>
      </c>
      <c r="D135" s="32">
        <v>2011</v>
      </c>
      <c r="E135" s="32">
        <v>2015</v>
      </c>
      <c r="F135" s="32" t="s">
        <v>320</v>
      </c>
      <c r="G135" s="32" t="s">
        <v>335</v>
      </c>
      <c r="H135" s="38">
        <v>1962</v>
      </c>
      <c r="I135" s="32" t="s">
        <v>331</v>
      </c>
      <c r="J135" s="32" t="s">
        <v>325</v>
      </c>
      <c r="K135" s="32" t="s">
        <v>388</v>
      </c>
      <c r="L135" s="32" t="s">
        <v>389</v>
      </c>
      <c r="M135" s="50">
        <f t="shared" si="6"/>
        <v>49</v>
      </c>
      <c r="N135" s="50">
        <f t="shared" si="7"/>
        <v>50</v>
      </c>
    </row>
    <row r="136" spans="1:14" hidden="1">
      <c r="A136" s="35" t="s">
        <v>7</v>
      </c>
      <c r="B136" s="39">
        <v>2013</v>
      </c>
      <c r="C136" s="32" t="s">
        <v>372</v>
      </c>
      <c r="D136" s="32">
        <v>2013</v>
      </c>
      <c r="E136" s="32">
        <v>2018</v>
      </c>
      <c r="F136" s="32" t="s">
        <v>321</v>
      </c>
      <c r="G136" s="32" t="s">
        <v>323</v>
      </c>
      <c r="H136" s="38">
        <v>1960</v>
      </c>
      <c r="I136" s="32" t="s">
        <v>373</v>
      </c>
      <c r="J136" s="32" t="s">
        <v>325</v>
      </c>
      <c r="K136" s="32" t="s">
        <v>386</v>
      </c>
      <c r="L136" s="32" t="s">
        <v>324</v>
      </c>
      <c r="M136" s="50">
        <f t="shared" si="6"/>
        <v>53</v>
      </c>
      <c r="N136" s="50">
        <f t="shared" si="7"/>
        <v>53</v>
      </c>
    </row>
    <row r="137" spans="1:14" hidden="1">
      <c r="A137" s="35" t="s">
        <v>7</v>
      </c>
      <c r="B137" s="39">
        <v>2013</v>
      </c>
      <c r="C137" s="32" t="s">
        <v>330</v>
      </c>
      <c r="D137" s="32">
        <v>2011</v>
      </c>
      <c r="E137" s="32">
        <v>2015</v>
      </c>
      <c r="F137" s="32" t="s">
        <v>320</v>
      </c>
      <c r="G137" s="32" t="s">
        <v>335</v>
      </c>
      <c r="H137" s="38">
        <v>1962</v>
      </c>
      <c r="I137" s="32" t="s">
        <v>331</v>
      </c>
      <c r="J137" s="32" t="s">
        <v>325</v>
      </c>
      <c r="K137" s="32" t="s">
        <v>388</v>
      </c>
      <c r="L137" s="32" t="s">
        <v>389</v>
      </c>
      <c r="M137" s="50">
        <f t="shared" si="6"/>
        <v>49</v>
      </c>
      <c r="N137" s="50">
        <f t="shared" si="7"/>
        <v>51</v>
      </c>
    </row>
    <row r="138" spans="1:14" hidden="1">
      <c r="A138" s="35" t="s">
        <v>7</v>
      </c>
      <c r="B138" s="39">
        <v>2014</v>
      </c>
      <c r="C138" s="32" t="s">
        <v>372</v>
      </c>
      <c r="D138" s="32">
        <v>2013</v>
      </c>
      <c r="E138" s="32">
        <v>2018</v>
      </c>
      <c r="F138" s="32" t="s">
        <v>321</v>
      </c>
      <c r="G138" s="32" t="s">
        <v>323</v>
      </c>
      <c r="H138" s="38">
        <v>1960</v>
      </c>
      <c r="I138" s="32" t="s">
        <v>373</v>
      </c>
      <c r="J138" s="32" t="s">
        <v>325</v>
      </c>
      <c r="K138" s="32" t="s">
        <v>386</v>
      </c>
      <c r="L138" s="32" t="s">
        <v>324</v>
      </c>
      <c r="M138" s="50">
        <f t="shared" si="6"/>
        <v>53</v>
      </c>
      <c r="N138" s="50">
        <f t="shared" si="7"/>
        <v>54</v>
      </c>
    </row>
    <row r="139" spans="1:14" hidden="1">
      <c r="A139" s="35" t="s">
        <v>7</v>
      </c>
      <c r="B139" s="39">
        <v>2014</v>
      </c>
      <c r="C139" s="32" t="s">
        <v>330</v>
      </c>
      <c r="D139" s="32">
        <v>2011</v>
      </c>
      <c r="E139" s="32">
        <v>2015</v>
      </c>
      <c r="F139" s="32" t="s">
        <v>320</v>
      </c>
      <c r="G139" s="32" t="s">
        <v>335</v>
      </c>
      <c r="H139" s="38">
        <v>1962</v>
      </c>
      <c r="I139" s="32" t="s">
        <v>331</v>
      </c>
      <c r="J139" s="32" t="s">
        <v>325</v>
      </c>
      <c r="K139" s="32" t="s">
        <v>388</v>
      </c>
      <c r="L139" s="32" t="s">
        <v>389</v>
      </c>
      <c r="M139" s="50">
        <f t="shared" si="6"/>
        <v>49</v>
      </c>
      <c r="N139" s="50">
        <f t="shared" si="7"/>
        <v>52</v>
      </c>
    </row>
    <row r="140" spans="1:14" hidden="1">
      <c r="A140" s="36" t="s">
        <v>7</v>
      </c>
      <c r="B140" s="39">
        <v>2015</v>
      </c>
      <c r="C140" s="32" t="s">
        <v>372</v>
      </c>
      <c r="D140" s="32">
        <v>2013</v>
      </c>
      <c r="E140" s="32">
        <v>2018</v>
      </c>
      <c r="F140" s="32" t="s">
        <v>321</v>
      </c>
      <c r="G140" s="32" t="s">
        <v>323</v>
      </c>
      <c r="H140" s="38">
        <v>1960</v>
      </c>
      <c r="I140" s="32" t="s">
        <v>373</v>
      </c>
      <c r="J140" s="32" t="s">
        <v>325</v>
      </c>
      <c r="K140" s="32" t="s">
        <v>386</v>
      </c>
      <c r="L140" s="32" t="s">
        <v>324</v>
      </c>
      <c r="M140" s="50">
        <f t="shared" si="6"/>
        <v>53</v>
      </c>
      <c r="N140" s="50">
        <f t="shared" si="7"/>
        <v>55</v>
      </c>
    </row>
    <row r="141" spans="1:14" hidden="1">
      <c r="A141" s="36" t="s">
        <v>7</v>
      </c>
      <c r="B141" s="39">
        <v>2015</v>
      </c>
      <c r="C141" s="32" t="s">
        <v>388</v>
      </c>
      <c r="D141" s="32">
        <v>2015</v>
      </c>
      <c r="E141" s="32">
        <v>2019</v>
      </c>
      <c r="F141" s="32" t="s">
        <v>320</v>
      </c>
      <c r="G141" s="32" t="s">
        <v>323</v>
      </c>
      <c r="H141" s="38">
        <v>1959</v>
      </c>
      <c r="I141" s="32" t="s">
        <v>389</v>
      </c>
      <c r="J141" s="32" t="s">
        <v>325</v>
      </c>
      <c r="K141" s="32" t="s">
        <v>386</v>
      </c>
      <c r="L141" s="32" t="s">
        <v>324</v>
      </c>
      <c r="M141" s="50">
        <f t="shared" si="6"/>
        <v>56</v>
      </c>
      <c r="N141" s="50">
        <f t="shared" si="7"/>
        <v>56</v>
      </c>
    </row>
    <row r="142" spans="1:14" hidden="1">
      <c r="A142" s="36" t="s">
        <v>7</v>
      </c>
      <c r="B142" s="39">
        <v>2016</v>
      </c>
      <c r="C142" s="32" t="s">
        <v>372</v>
      </c>
      <c r="D142" s="32">
        <v>2013</v>
      </c>
      <c r="E142" s="32">
        <v>2018</v>
      </c>
      <c r="F142" s="32" t="s">
        <v>321</v>
      </c>
      <c r="G142" s="32" t="s">
        <v>323</v>
      </c>
      <c r="H142" s="38">
        <v>1960</v>
      </c>
      <c r="I142" s="32" t="s">
        <v>373</v>
      </c>
      <c r="J142" s="32" t="s">
        <v>325</v>
      </c>
      <c r="K142" s="32" t="s">
        <v>386</v>
      </c>
      <c r="L142" s="32" t="s">
        <v>324</v>
      </c>
      <c r="M142" s="50">
        <f t="shared" si="6"/>
        <v>53</v>
      </c>
      <c r="N142" s="50">
        <f t="shared" si="7"/>
        <v>56</v>
      </c>
    </row>
    <row r="143" spans="1:14" hidden="1">
      <c r="A143" s="36" t="s">
        <v>7</v>
      </c>
      <c r="B143" s="39">
        <v>2016</v>
      </c>
      <c r="C143" s="32" t="s">
        <v>388</v>
      </c>
      <c r="D143" s="32">
        <v>2015</v>
      </c>
      <c r="E143" s="32">
        <v>2019</v>
      </c>
      <c r="F143" s="32" t="s">
        <v>320</v>
      </c>
      <c r="G143" s="32" t="s">
        <v>323</v>
      </c>
      <c r="H143" s="38">
        <v>1959</v>
      </c>
      <c r="I143" s="32" t="s">
        <v>389</v>
      </c>
      <c r="J143" s="32" t="s">
        <v>325</v>
      </c>
      <c r="K143" s="32" t="s">
        <v>386</v>
      </c>
      <c r="L143" s="32" t="s">
        <v>324</v>
      </c>
      <c r="M143" s="50">
        <f t="shared" si="6"/>
        <v>56</v>
      </c>
      <c r="N143" s="50">
        <f t="shared" si="7"/>
        <v>57</v>
      </c>
    </row>
    <row r="144" spans="1:14" hidden="1">
      <c r="A144" s="36" t="s">
        <v>7</v>
      </c>
      <c r="B144" s="39">
        <v>2017</v>
      </c>
      <c r="C144" s="32" t="s">
        <v>372</v>
      </c>
      <c r="D144" s="32">
        <v>2013</v>
      </c>
      <c r="E144" s="32">
        <v>2018</v>
      </c>
      <c r="F144" s="32" t="s">
        <v>321</v>
      </c>
      <c r="G144" s="32" t="s">
        <v>323</v>
      </c>
      <c r="H144" s="38">
        <v>1960</v>
      </c>
      <c r="I144" s="32" t="s">
        <v>373</v>
      </c>
      <c r="J144" s="32" t="s">
        <v>325</v>
      </c>
      <c r="K144" s="32" t="s">
        <v>386</v>
      </c>
      <c r="L144" s="32" t="s">
        <v>324</v>
      </c>
      <c r="M144" s="50">
        <f t="shared" si="6"/>
        <v>53</v>
      </c>
      <c r="N144" s="50">
        <f t="shared" si="7"/>
        <v>57</v>
      </c>
    </row>
    <row r="145" spans="1:14" hidden="1">
      <c r="A145" s="36" t="s">
        <v>7</v>
      </c>
      <c r="B145" s="39">
        <v>2017</v>
      </c>
      <c r="C145" s="32" t="s">
        <v>388</v>
      </c>
      <c r="D145" s="32">
        <v>2015</v>
      </c>
      <c r="E145" s="32">
        <v>2019</v>
      </c>
      <c r="F145" s="32" t="s">
        <v>320</v>
      </c>
      <c r="G145" s="32" t="s">
        <v>323</v>
      </c>
      <c r="H145" s="38">
        <v>1959</v>
      </c>
      <c r="I145" s="32" t="s">
        <v>389</v>
      </c>
      <c r="J145" s="32" t="s">
        <v>325</v>
      </c>
      <c r="K145" s="32" t="s">
        <v>386</v>
      </c>
      <c r="L145" s="32" t="s">
        <v>324</v>
      </c>
      <c r="M145" s="50">
        <f t="shared" si="6"/>
        <v>56</v>
      </c>
      <c r="N145" s="50">
        <f t="shared" si="7"/>
        <v>58</v>
      </c>
    </row>
    <row r="146" spans="1:14" hidden="1">
      <c r="A146" s="36" t="s">
        <v>7</v>
      </c>
      <c r="B146" s="39">
        <v>2018</v>
      </c>
      <c r="C146" s="32" t="s">
        <v>386</v>
      </c>
      <c r="D146" s="32">
        <v>2018</v>
      </c>
      <c r="E146" s="32">
        <v>2019</v>
      </c>
      <c r="F146" s="32" t="s">
        <v>321</v>
      </c>
      <c r="G146" s="32" t="s">
        <v>323</v>
      </c>
      <c r="H146" s="38">
        <v>1962</v>
      </c>
      <c r="I146" s="32" t="s">
        <v>324</v>
      </c>
      <c r="J146" s="32" t="s">
        <v>325</v>
      </c>
      <c r="K146" s="32" t="s">
        <v>387</v>
      </c>
      <c r="L146" s="32" t="s">
        <v>329</v>
      </c>
      <c r="M146" s="50">
        <f t="shared" si="6"/>
        <v>56</v>
      </c>
      <c r="N146" s="50">
        <f t="shared" si="7"/>
        <v>56</v>
      </c>
    </row>
    <row r="147" spans="1:14" hidden="1">
      <c r="A147" s="36" t="s">
        <v>7</v>
      </c>
      <c r="B147" s="39">
        <v>2018</v>
      </c>
      <c r="C147" s="32" t="s">
        <v>388</v>
      </c>
      <c r="D147" s="32">
        <v>2015</v>
      </c>
      <c r="E147" s="32">
        <v>2019</v>
      </c>
      <c r="F147" s="32" t="s">
        <v>320</v>
      </c>
      <c r="G147" s="32" t="s">
        <v>323</v>
      </c>
      <c r="H147" s="38">
        <v>1959</v>
      </c>
      <c r="I147" s="32" t="s">
        <v>389</v>
      </c>
      <c r="J147" s="32" t="s">
        <v>325</v>
      </c>
      <c r="K147" s="32" t="s">
        <v>386</v>
      </c>
      <c r="L147" s="32" t="s">
        <v>324</v>
      </c>
      <c r="M147" s="50">
        <f t="shared" si="6"/>
        <v>56</v>
      </c>
      <c r="N147" s="50">
        <f t="shared" si="7"/>
        <v>59</v>
      </c>
    </row>
    <row r="148" spans="1:14" hidden="1">
      <c r="A148" s="36" t="s">
        <v>7</v>
      </c>
      <c r="B148" s="39">
        <v>2019</v>
      </c>
      <c r="C148" s="32" t="s">
        <v>386</v>
      </c>
      <c r="D148" s="32">
        <v>2018</v>
      </c>
      <c r="E148" s="32">
        <v>2019</v>
      </c>
      <c r="F148" s="32" t="s">
        <v>321</v>
      </c>
      <c r="G148" s="32" t="s">
        <v>323</v>
      </c>
      <c r="H148" s="38">
        <v>1962</v>
      </c>
      <c r="I148" s="32" t="s">
        <v>324</v>
      </c>
      <c r="J148" s="32" t="s">
        <v>325</v>
      </c>
      <c r="K148" s="32" t="s">
        <v>387</v>
      </c>
      <c r="L148" s="32" t="s">
        <v>329</v>
      </c>
      <c r="M148" s="50">
        <f t="shared" si="6"/>
        <v>56</v>
      </c>
      <c r="N148" s="50">
        <f t="shared" si="7"/>
        <v>57</v>
      </c>
    </row>
    <row r="149" spans="1:14" hidden="1">
      <c r="A149" s="36" t="s">
        <v>7</v>
      </c>
      <c r="B149" s="39">
        <v>2019</v>
      </c>
      <c r="C149" s="32" t="s">
        <v>386</v>
      </c>
      <c r="D149" s="32">
        <v>2019</v>
      </c>
      <c r="E149" s="32">
        <v>2021</v>
      </c>
      <c r="F149" s="32" t="s">
        <v>320</v>
      </c>
      <c r="G149" s="32" t="s">
        <v>323</v>
      </c>
      <c r="H149" s="38">
        <v>1962</v>
      </c>
      <c r="I149" s="32" t="s">
        <v>324</v>
      </c>
      <c r="J149" s="32" t="s">
        <v>325</v>
      </c>
      <c r="K149" s="32" t="s">
        <v>387</v>
      </c>
      <c r="L149" s="32" t="s">
        <v>329</v>
      </c>
      <c r="M149" s="50">
        <f t="shared" si="6"/>
        <v>57</v>
      </c>
      <c r="N149" s="50">
        <f t="shared" si="7"/>
        <v>57</v>
      </c>
    </row>
    <row r="150" spans="1:14" hidden="1">
      <c r="A150" s="36" t="s">
        <v>7</v>
      </c>
      <c r="B150" s="39">
        <v>2020</v>
      </c>
      <c r="C150" s="32" t="s">
        <v>387</v>
      </c>
      <c r="D150" s="32">
        <v>2019</v>
      </c>
      <c r="E150" s="32">
        <v>2021</v>
      </c>
      <c r="F150" s="32" t="s">
        <v>321</v>
      </c>
      <c r="G150" s="32" t="s">
        <v>323</v>
      </c>
      <c r="H150" s="38">
        <v>1976</v>
      </c>
      <c r="I150" s="32" t="s">
        <v>329</v>
      </c>
      <c r="J150" s="32" t="s">
        <v>325</v>
      </c>
      <c r="K150" s="32" t="s">
        <v>390</v>
      </c>
      <c r="L150" s="32" t="s">
        <v>391</v>
      </c>
      <c r="M150" s="50">
        <f t="shared" si="6"/>
        <v>43</v>
      </c>
      <c r="N150" s="50">
        <f t="shared" si="7"/>
        <v>44</v>
      </c>
    </row>
    <row r="151" spans="1:14" hidden="1">
      <c r="A151" s="36" t="s">
        <v>7</v>
      </c>
      <c r="B151" s="39">
        <v>2020</v>
      </c>
      <c r="C151" s="32" t="s">
        <v>386</v>
      </c>
      <c r="D151" s="32">
        <v>2019</v>
      </c>
      <c r="E151" s="32">
        <v>2021</v>
      </c>
      <c r="F151" s="32" t="s">
        <v>320</v>
      </c>
      <c r="G151" s="32" t="s">
        <v>323</v>
      </c>
      <c r="H151" s="38">
        <v>1962</v>
      </c>
      <c r="I151" s="32" t="s">
        <v>324</v>
      </c>
      <c r="J151" s="32" t="s">
        <v>325</v>
      </c>
      <c r="K151" s="32" t="s">
        <v>387</v>
      </c>
      <c r="L151" s="32" t="s">
        <v>329</v>
      </c>
      <c r="M151" s="50">
        <f t="shared" si="6"/>
        <v>57</v>
      </c>
      <c r="N151" s="50">
        <f t="shared" si="7"/>
        <v>58</v>
      </c>
    </row>
    <row r="152" spans="1:14" hidden="1">
      <c r="A152" s="36" t="s">
        <v>7</v>
      </c>
      <c r="B152" s="39">
        <v>2021</v>
      </c>
      <c r="C152" s="32" t="s">
        <v>387</v>
      </c>
      <c r="D152" s="32">
        <v>2019</v>
      </c>
      <c r="E152" s="32">
        <v>2021</v>
      </c>
      <c r="F152" s="32" t="s">
        <v>321</v>
      </c>
      <c r="G152" s="32" t="s">
        <v>323</v>
      </c>
      <c r="H152" s="38">
        <v>1976</v>
      </c>
      <c r="I152" s="32" t="s">
        <v>329</v>
      </c>
      <c r="J152" s="32" t="s">
        <v>325</v>
      </c>
      <c r="K152" s="32" t="s">
        <v>390</v>
      </c>
      <c r="L152" s="32" t="s">
        <v>391</v>
      </c>
      <c r="M152" s="50">
        <f t="shared" si="6"/>
        <v>43</v>
      </c>
      <c r="N152" s="50">
        <f t="shared" si="7"/>
        <v>45</v>
      </c>
    </row>
    <row r="153" spans="1:14" hidden="1">
      <c r="A153" s="36" t="s">
        <v>7</v>
      </c>
      <c r="B153" s="39">
        <v>2021</v>
      </c>
      <c r="C153" s="32" t="s">
        <v>386</v>
      </c>
      <c r="D153" s="32">
        <v>2019</v>
      </c>
      <c r="E153" s="32">
        <v>2021</v>
      </c>
      <c r="F153" s="32" t="s">
        <v>320</v>
      </c>
      <c r="G153" s="32" t="s">
        <v>323</v>
      </c>
      <c r="H153" s="38">
        <v>1962</v>
      </c>
      <c r="I153" s="32" t="s">
        <v>324</v>
      </c>
      <c r="J153" s="32" t="s">
        <v>325</v>
      </c>
      <c r="K153" s="32" t="s">
        <v>387</v>
      </c>
      <c r="L153" s="32" t="s">
        <v>329</v>
      </c>
      <c r="M153" s="50">
        <f t="shared" si="6"/>
        <v>57</v>
      </c>
      <c r="N153" s="50">
        <f t="shared" si="7"/>
        <v>59</v>
      </c>
    </row>
    <row r="154" spans="1:14" hidden="1">
      <c r="A154" s="36" t="s">
        <v>7</v>
      </c>
      <c r="B154" s="39">
        <v>2022</v>
      </c>
      <c r="C154" s="35"/>
      <c r="D154" s="35"/>
      <c r="E154" s="35"/>
      <c r="F154" s="35" t="s">
        <v>321</v>
      </c>
      <c r="G154" s="35"/>
      <c r="H154" s="39"/>
      <c r="I154" s="35"/>
      <c r="J154" s="35"/>
      <c r="K154" s="35"/>
      <c r="L154" s="35"/>
      <c r="M154" s="50"/>
      <c r="N154" s="50"/>
    </row>
    <row r="155" spans="1:14" hidden="1">
      <c r="A155" s="36" t="s">
        <v>7</v>
      </c>
      <c r="B155" s="39">
        <v>2022</v>
      </c>
      <c r="C155" s="35" t="s">
        <v>387</v>
      </c>
      <c r="D155" s="48">
        <v>2021</v>
      </c>
      <c r="E155" s="48">
        <v>2025</v>
      </c>
      <c r="F155" s="48" t="s">
        <v>320</v>
      </c>
      <c r="G155" s="48" t="s">
        <v>323</v>
      </c>
      <c r="H155" s="47">
        <v>1976</v>
      </c>
      <c r="I155" s="48" t="s">
        <v>329</v>
      </c>
      <c r="J155" s="48" t="s">
        <v>325</v>
      </c>
      <c r="K155" s="35"/>
      <c r="L155" s="35"/>
      <c r="M155" s="50">
        <f t="shared" si="6"/>
        <v>45</v>
      </c>
      <c r="N155" s="50">
        <f t="shared" si="7"/>
        <v>46</v>
      </c>
    </row>
    <row r="156" spans="1:14" hidden="1">
      <c r="A156" s="35" t="s">
        <v>8</v>
      </c>
      <c r="B156" s="39">
        <v>2012</v>
      </c>
      <c r="C156" s="32" t="s">
        <v>393</v>
      </c>
      <c r="D156" s="32">
        <v>2010</v>
      </c>
      <c r="E156" s="32">
        <v>2013</v>
      </c>
      <c r="F156" s="32" t="s">
        <v>321</v>
      </c>
      <c r="G156" s="32" t="s">
        <v>323</v>
      </c>
      <c r="H156" s="38">
        <v>1962</v>
      </c>
      <c r="I156" s="32" t="s">
        <v>342</v>
      </c>
      <c r="J156" s="32" t="s">
        <v>325</v>
      </c>
      <c r="K156" s="32" t="s">
        <v>351</v>
      </c>
      <c r="L156" s="32" t="s">
        <v>352</v>
      </c>
      <c r="M156" s="50">
        <f t="shared" si="6"/>
        <v>48</v>
      </c>
      <c r="N156" s="50">
        <f t="shared" si="7"/>
        <v>50</v>
      </c>
    </row>
    <row r="157" spans="1:14" hidden="1">
      <c r="A157" s="35" t="s">
        <v>8</v>
      </c>
      <c r="B157" s="39">
        <v>2012</v>
      </c>
      <c r="C157" s="32" t="s">
        <v>406</v>
      </c>
      <c r="D157" s="32">
        <v>2008</v>
      </c>
      <c r="E157" s="32">
        <v>2014</v>
      </c>
      <c r="F157" s="32" t="s">
        <v>320</v>
      </c>
      <c r="G157" s="32" t="s">
        <v>323</v>
      </c>
      <c r="H157" s="38">
        <v>1961</v>
      </c>
      <c r="I157" s="32" t="s">
        <v>367</v>
      </c>
      <c r="J157" s="32" t="s">
        <v>340</v>
      </c>
      <c r="K157" s="32" t="s">
        <v>333</v>
      </c>
      <c r="L157" s="32" t="s">
        <v>334</v>
      </c>
      <c r="M157" s="50">
        <f t="shared" si="6"/>
        <v>47</v>
      </c>
      <c r="N157" s="50">
        <f t="shared" si="7"/>
        <v>51</v>
      </c>
    </row>
    <row r="158" spans="1:14" hidden="1">
      <c r="A158" s="35" t="s">
        <v>8</v>
      </c>
      <c r="B158" s="39">
        <v>2013</v>
      </c>
      <c r="C158" s="32" t="s">
        <v>393</v>
      </c>
      <c r="D158" s="32">
        <v>2010</v>
      </c>
      <c r="E158" s="32">
        <v>2013</v>
      </c>
      <c r="F158" s="32" t="s">
        <v>321</v>
      </c>
      <c r="G158" s="32" t="s">
        <v>323</v>
      </c>
      <c r="H158" s="38">
        <v>1962</v>
      </c>
      <c r="I158" s="32" t="s">
        <v>342</v>
      </c>
      <c r="J158" s="32" t="s">
        <v>325</v>
      </c>
      <c r="K158" s="32" t="s">
        <v>351</v>
      </c>
      <c r="L158" s="32" t="s">
        <v>352</v>
      </c>
      <c r="M158" s="50">
        <f t="shared" si="6"/>
        <v>48</v>
      </c>
      <c r="N158" s="50">
        <f t="shared" si="7"/>
        <v>51</v>
      </c>
    </row>
    <row r="159" spans="1:14" hidden="1">
      <c r="A159" s="35" t="s">
        <v>8</v>
      </c>
      <c r="B159" s="39">
        <v>2013</v>
      </c>
      <c r="C159" s="32" t="s">
        <v>406</v>
      </c>
      <c r="D159" s="32">
        <v>2008</v>
      </c>
      <c r="E159" s="32">
        <v>2014</v>
      </c>
      <c r="F159" s="32" t="s">
        <v>320</v>
      </c>
      <c r="G159" s="32" t="s">
        <v>323</v>
      </c>
      <c r="H159" s="38">
        <v>1961</v>
      </c>
      <c r="I159" s="32" t="s">
        <v>367</v>
      </c>
      <c r="J159" s="32" t="s">
        <v>340</v>
      </c>
      <c r="K159" s="32" t="s">
        <v>333</v>
      </c>
      <c r="L159" s="32" t="s">
        <v>334</v>
      </c>
      <c r="M159" s="50">
        <f t="shared" si="6"/>
        <v>47</v>
      </c>
      <c r="N159" s="50">
        <f t="shared" si="7"/>
        <v>52</v>
      </c>
    </row>
    <row r="160" spans="1:14" hidden="1">
      <c r="A160" s="35" t="s">
        <v>8</v>
      </c>
      <c r="B160" s="39">
        <v>2014</v>
      </c>
      <c r="C160" s="32" t="s">
        <v>351</v>
      </c>
      <c r="D160" s="32">
        <v>2013</v>
      </c>
      <c r="E160" s="32">
        <v>2016</v>
      </c>
      <c r="F160" s="32" t="s">
        <v>321</v>
      </c>
      <c r="G160" s="32" t="s">
        <v>323</v>
      </c>
      <c r="H160" s="38">
        <v>1964</v>
      </c>
      <c r="I160" s="32" t="s">
        <v>352</v>
      </c>
      <c r="J160" s="32" t="s">
        <v>325</v>
      </c>
      <c r="K160" s="32" t="s">
        <v>394</v>
      </c>
      <c r="L160" s="32" t="s">
        <v>395</v>
      </c>
      <c r="M160" s="50">
        <f t="shared" si="6"/>
        <v>49</v>
      </c>
      <c r="N160" s="50">
        <f t="shared" si="7"/>
        <v>50</v>
      </c>
    </row>
    <row r="161" spans="1:14" hidden="1">
      <c r="A161" s="35" t="s">
        <v>8</v>
      </c>
      <c r="B161" s="39">
        <v>2014</v>
      </c>
      <c r="C161" s="32" t="s">
        <v>406</v>
      </c>
      <c r="D161" s="32">
        <v>2008</v>
      </c>
      <c r="E161" s="32">
        <v>2014</v>
      </c>
      <c r="F161" s="32" t="s">
        <v>320</v>
      </c>
      <c r="G161" s="32" t="s">
        <v>323</v>
      </c>
      <c r="H161" s="38">
        <v>1961</v>
      </c>
      <c r="I161" s="32" t="s">
        <v>367</v>
      </c>
      <c r="J161" s="32" t="s">
        <v>340</v>
      </c>
      <c r="K161" s="32" t="s">
        <v>333</v>
      </c>
      <c r="L161" s="32" t="s">
        <v>334</v>
      </c>
      <c r="M161" s="50">
        <f t="shared" si="6"/>
        <v>47</v>
      </c>
      <c r="N161" s="50">
        <f t="shared" si="7"/>
        <v>53</v>
      </c>
    </row>
    <row r="162" spans="1:14" hidden="1">
      <c r="A162" s="36" t="s">
        <v>8</v>
      </c>
      <c r="B162" s="39">
        <v>2015</v>
      </c>
      <c r="C162" s="32" t="s">
        <v>351</v>
      </c>
      <c r="D162" s="32">
        <v>2013</v>
      </c>
      <c r="E162" s="32">
        <v>2016</v>
      </c>
      <c r="F162" s="32" t="s">
        <v>321</v>
      </c>
      <c r="G162" s="32" t="s">
        <v>323</v>
      </c>
      <c r="H162" s="38">
        <v>1964</v>
      </c>
      <c r="I162" s="32" t="s">
        <v>352</v>
      </c>
      <c r="J162" s="32" t="s">
        <v>325</v>
      </c>
      <c r="K162" s="32" t="s">
        <v>394</v>
      </c>
      <c r="L162" s="32" t="s">
        <v>395</v>
      </c>
      <c r="M162" s="50">
        <f t="shared" si="6"/>
        <v>49</v>
      </c>
      <c r="N162" s="50">
        <f t="shared" si="7"/>
        <v>51</v>
      </c>
    </row>
    <row r="163" spans="1:14" hidden="1">
      <c r="A163" s="36" t="s">
        <v>8</v>
      </c>
      <c r="B163" s="39">
        <v>2015</v>
      </c>
      <c r="C163" s="32" t="s">
        <v>333</v>
      </c>
      <c r="D163" s="32">
        <v>2014</v>
      </c>
      <c r="E163" s="32">
        <v>2017</v>
      </c>
      <c r="F163" s="32" t="s">
        <v>320</v>
      </c>
      <c r="G163" s="32" t="s">
        <v>323</v>
      </c>
      <c r="H163" s="38">
        <v>1964</v>
      </c>
      <c r="I163" s="32" t="s">
        <v>334</v>
      </c>
      <c r="J163" s="32" t="s">
        <v>325</v>
      </c>
      <c r="K163" s="32" t="s">
        <v>399</v>
      </c>
      <c r="L163" s="32" t="s">
        <v>389</v>
      </c>
      <c r="M163" s="50">
        <f t="shared" si="6"/>
        <v>50</v>
      </c>
      <c r="N163" s="50">
        <f t="shared" si="7"/>
        <v>51</v>
      </c>
    </row>
    <row r="164" spans="1:14" hidden="1">
      <c r="A164" s="36" t="s">
        <v>8</v>
      </c>
      <c r="B164" s="39">
        <v>2016</v>
      </c>
      <c r="C164" s="32" t="s">
        <v>394</v>
      </c>
      <c r="D164" s="32">
        <v>2016</v>
      </c>
      <c r="E164" s="32">
        <v>2019</v>
      </c>
      <c r="F164" s="32" t="s">
        <v>321</v>
      </c>
      <c r="G164" s="32" t="s">
        <v>323</v>
      </c>
      <c r="H164" s="38">
        <v>1963</v>
      </c>
      <c r="I164" s="32" t="s">
        <v>395</v>
      </c>
      <c r="J164" s="32" t="s">
        <v>325</v>
      </c>
      <c r="K164" s="32" t="s">
        <v>396</v>
      </c>
      <c r="L164" s="32" t="s">
        <v>324</v>
      </c>
      <c r="M164" s="50">
        <f t="shared" si="6"/>
        <v>53</v>
      </c>
      <c r="N164" s="50">
        <f t="shared" si="7"/>
        <v>53</v>
      </c>
    </row>
    <row r="165" spans="1:14" hidden="1">
      <c r="A165" s="36" t="s">
        <v>8</v>
      </c>
      <c r="B165" s="39">
        <v>2016</v>
      </c>
      <c r="C165" s="32" t="s">
        <v>333</v>
      </c>
      <c r="D165" s="32">
        <v>2014</v>
      </c>
      <c r="E165" s="32">
        <v>2017</v>
      </c>
      <c r="F165" s="32" t="s">
        <v>320</v>
      </c>
      <c r="G165" s="32" t="s">
        <v>323</v>
      </c>
      <c r="H165" s="38">
        <v>1964</v>
      </c>
      <c r="I165" s="32" t="s">
        <v>334</v>
      </c>
      <c r="J165" s="32" t="s">
        <v>325</v>
      </c>
      <c r="K165" s="32" t="s">
        <v>399</v>
      </c>
      <c r="L165" s="32" t="s">
        <v>389</v>
      </c>
      <c r="M165" s="50">
        <f t="shared" si="6"/>
        <v>50</v>
      </c>
      <c r="N165" s="50">
        <f t="shared" si="7"/>
        <v>52</v>
      </c>
    </row>
    <row r="166" spans="1:14" hidden="1">
      <c r="A166" s="36" t="s">
        <v>8</v>
      </c>
      <c r="B166" s="39">
        <v>2017</v>
      </c>
      <c r="C166" s="32" t="s">
        <v>394</v>
      </c>
      <c r="D166" s="32">
        <v>2016</v>
      </c>
      <c r="E166" s="32">
        <v>2019</v>
      </c>
      <c r="F166" s="32" t="s">
        <v>321</v>
      </c>
      <c r="G166" s="32" t="s">
        <v>323</v>
      </c>
      <c r="H166" s="38">
        <v>1963</v>
      </c>
      <c r="I166" s="32" t="s">
        <v>395</v>
      </c>
      <c r="J166" s="32" t="s">
        <v>325</v>
      </c>
      <c r="K166" s="32" t="s">
        <v>396</v>
      </c>
      <c r="L166" s="32" t="s">
        <v>324</v>
      </c>
      <c r="M166" s="50">
        <f t="shared" si="6"/>
        <v>53</v>
      </c>
      <c r="N166" s="50">
        <f t="shared" si="7"/>
        <v>54</v>
      </c>
    </row>
    <row r="167" spans="1:14" hidden="1">
      <c r="A167" s="36" t="s">
        <v>8</v>
      </c>
      <c r="B167" s="39">
        <v>2017</v>
      </c>
      <c r="C167" s="32" t="s">
        <v>399</v>
      </c>
      <c r="D167" s="32">
        <v>2017</v>
      </c>
      <c r="E167" s="32">
        <v>2018</v>
      </c>
      <c r="F167" s="32" t="s">
        <v>320</v>
      </c>
      <c r="G167" s="32" t="s">
        <v>323</v>
      </c>
      <c r="H167" s="38">
        <v>1962</v>
      </c>
      <c r="I167" s="32" t="s">
        <v>389</v>
      </c>
      <c r="J167" s="32" t="s">
        <v>325</v>
      </c>
      <c r="K167" s="32" t="s">
        <v>337</v>
      </c>
      <c r="L167" s="32" t="s">
        <v>329</v>
      </c>
      <c r="M167" s="50">
        <f t="shared" si="6"/>
        <v>55</v>
      </c>
      <c r="N167" s="50">
        <f t="shared" si="7"/>
        <v>55</v>
      </c>
    </row>
    <row r="168" spans="1:14" hidden="1">
      <c r="A168" s="36" t="s">
        <v>8</v>
      </c>
      <c r="B168" s="39">
        <v>2018</v>
      </c>
      <c r="C168" s="32" t="s">
        <v>394</v>
      </c>
      <c r="D168" s="32">
        <v>2016</v>
      </c>
      <c r="E168" s="32">
        <v>2019</v>
      </c>
      <c r="F168" s="32" t="s">
        <v>321</v>
      </c>
      <c r="G168" s="32" t="s">
        <v>323</v>
      </c>
      <c r="H168" s="38">
        <v>1963</v>
      </c>
      <c r="I168" s="32" t="s">
        <v>395</v>
      </c>
      <c r="J168" s="32" t="s">
        <v>325</v>
      </c>
      <c r="K168" s="32" t="s">
        <v>396</v>
      </c>
      <c r="L168" s="32" t="s">
        <v>324</v>
      </c>
      <c r="M168" s="50">
        <f t="shared" si="6"/>
        <v>53</v>
      </c>
      <c r="N168" s="50">
        <f t="shared" si="7"/>
        <v>55</v>
      </c>
    </row>
    <row r="169" spans="1:14" hidden="1">
      <c r="A169" s="36" t="s">
        <v>8</v>
      </c>
      <c r="B169" s="39">
        <v>2018</v>
      </c>
      <c r="C169" s="32" t="s">
        <v>337</v>
      </c>
      <c r="D169" s="32">
        <v>2018</v>
      </c>
      <c r="E169" s="32">
        <v>2019</v>
      </c>
      <c r="F169" s="32" t="s">
        <v>320</v>
      </c>
      <c r="G169" s="32" t="s">
        <v>335</v>
      </c>
      <c r="H169" s="38">
        <v>1964</v>
      </c>
      <c r="I169" s="32" t="s">
        <v>329</v>
      </c>
      <c r="J169" s="32" t="s">
        <v>325</v>
      </c>
      <c r="K169" s="32" t="s">
        <v>394</v>
      </c>
      <c r="L169" s="32" t="s">
        <v>395</v>
      </c>
      <c r="M169" s="50">
        <f t="shared" si="6"/>
        <v>54</v>
      </c>
      <c r="N169" s="50">
        <f t="shared" si="7"/>
        <v>54</v>
      </c>
    </row>
    <row r="170" spans="1:14" hidden="1">
      <c r="A170" s="36" t="s">
        <v>8</v>
      </c>
      <c r="B170" s="39">
        <v>2019</v>
      </c>
      <c r="C170" s="32" t="s">
        <v>394</v>
      </c>
      <c r="D170" s="32">
        <v>2016</v>
      </c>
      <c r="E170" s="32">
        <v>2019</v>
      </c>
      <c r="F170" s="32" t="s">
        <v>321</v>
      </c>
      <c r="G170" s="32" t="s">
        <v>323</v>
      </c>
      <c r="H170" s="38">
        <v>1963</v>
      </c>
      <c r="I170" s="32" t="s">
        <v>395</v>
      </c>
      <c r="J170" s="32" t="s">
        <v>325</v>
      </c>
      <c r="K170" s="32" t="s">
        <v>396</v>
      </c>
      <c r="L170" s="32" t="s">
        <v>324</v>
      </c>
      <c r="M170" s="50">
        <f t="shared" si="6"/>
        <v>53</v>
      </c>
      <c r="N170" s="50">
        <f t="shared" si="7"/>
        <v>56</v>
      </c>
    </row>
    <row r="171" spans="1:14" hidden="1">
      <c r="A171" s="36" t="s">
        <v>8</v>
      </c>
      <c r="B171" s="39">
        <v>2019</v>
      </c>
      <c r="C171" s="32" t="s">
        <v>337</v>
      </c>
      <c r="D171" s="32">
        <v>2018</v>
      </c>
      <c r="E171" s="32">
        <v>2019</v>
      </c>
      <c r="F171" s="32" t="s">
        <v>320</v>
      </c>
      <c r="G171" s="32" t="s">
        <v>335</v>
      </c>
      <c r="H171" s="38">
        <v>1964</v>
      </c>
      <c r="I171" s="32" t="s">
        <v>329</v>
      </c>
      <c r="J171" s="32" t="s">
        <v>325</v>
      </c>
      <c r="K171" s="32" t="s">
        <v>394</v>
      </c>
      <c r="L171" s="32" t="s">
        <v>395</v>
      </c>
      <c r="M171" s="50">
        <f t="shared" si="6"/>
        <v>54</v>
      </c>
      <c r="N171" s="50">
        <f t="shared" si="7"/>
        <v>55</v>
      </c>
    </row>
    <row r="172" spans="1:14" hidden="1">
      <c r="A172" s="36" t="s">
        <v>8</v>
      </c>
      <c r="B172" s="39">
        <v>2020</v>
      </c>
      <c r="C172" s="32" t="s">
        <v>396</v>
      </c>
      <c r="D172" s="32">
        <v>2019</v>
      </c>
      <c r="E172" s="32">
        <v>2021</v>
      </c>
      <c r="F172" s="32" t="s">
        <v>321</v>
      </c>
      <c r="G172" s="32" t="s">
        <v>323</v>
      </c>
      <c r="H172" s="38">
        <v>1971</v>
      </c>
      <c r="I172" s="32" t="s">
        <v>324</v>
      </c>
      <c r="J172" s="32" t="s">
        <v>325</v>
      </c>
      <c r="K172" s="32" t="s">
        <v>397</v>
      </c>
      <c r="L172" s="32" t="s">
        <v>398</v>
      </c>
      <c r="M172" s="50">
        <f t="shared" si="6"/>
        <v>48</v>
      </c>
      <c r="N172" s="50">
        <f t="shared" si="7"/>
        <v>49</v>
      </c>
    </row>
    <row r="173" spans="1:14" hidden="1">
      <c r="A173" s="36" t="s">
        <v>8</v>
      </c>
      <c r="B173" s="39">
        <v>2020</v>
      </c>
      <c r="C173" s="32" t="s">
        <v>394</v>
      </c>
      <c r="D173" s="32">
        <v>2019</v>
      </c>
      <c r="E173" s="32">
        <v>2021</v>
      </c>
      <c r="F173" s="32" t="s">
        <v>320</v>
      </c>
      <c r="G173" s="32" t="s">
        <v>323</v>
      </c>
      <c r="H173" s="38">
        <v>1963</v>
      </c>
      <c r="I173" s="32" t="s">
        <v>395</v>
      </c>
      <c r="J173" s="32" t="s">
        <v>325</v>
      </c>
      <c r="K173" s="32" t="s">
        <v>396</v>
      </c>
      <c r="L173" s="32" t="s">
        <v>348</v>
      </c>
      <c r="M173" s="50">
        <f t="shared" si="6"/>
        <v>56</v>
      </c>
      <c r="N173" s="50">
        <f>B173-H173</f>
        <v>57</v>
      </c>
    </row>
    <row r="174" spans="1:14" hidden="1">
      <c r="A174" s="36" t="s">
        <v>8</v>
      </c>
      <c r="B174" s="39">
        <v>2021</v>
      </c>
      <c r="C174" s="32" t="s">
        <v>396</v>
      </c>
      <c r="D174" s="32">
        <v>2019</v>
      </c>
      <c r="E174" s="32">
        <v>2021</v>
      </c>
      <c r="F174" s="32" t="s">
        <v>321</v>
      </c>
      <c r="G174" s="32" t="s">
        <v>323</v>
      </c>
      <c r="H174" s="38">
        <v>1971</v>
      </c>
      <c r="I174" s="32" t="s">
        <v>324</v>
      </c>
      <c r="J174" s="32" t="s">
        <v>325</v>
      </c>
      <c r="K174" s="32" t="s">
        <v>397</v>
      </c>
      <c r="L174" s="32" t="s">
        <v>398</v>
      </c>
      <c r="M174" s="50">
        <f t="shared" si="6"/>
        <v>48</v>
      </c>
      <c r="N174" s="50">
        <f t="shared" si="7"/>
        <v>50</v>
      </c>
    </row>
    <row r="175" spans="1:14" hidden="1">
      <c r="A175" s="36" t="s">
        <v>8</v>
      </c>
      <c r="B175" s="39">
        <v>2021</v>
      </c>
      <c r="C175" s="32" t="s">
        <v>394</v>
      </c>
      <c r="D175" s="32">
        <v>2019</v>
      </c>
      <c r="E175" s="32">
        <v>2021</v>
      </c>
      <c r="F175" s="32" t="s">
        <v>320</v>
      </c>
      <c r="G175" s="32" t="s">
        <v>323</v>
      </c>
      <c r="H175" s="38">
        <v>1963</v>
      </c>
      <c r="I175" s="32" t="s">
        <v>395</v>
      </c>
      <c r="J175" s="32" t="s">
        <v>325</v>
      </c>
      <c r="K175" s="32" t="s">
        <v>396</v>
      </c>
      <c r="L175" s="32" t="s">
        <v>348</v>
      </c>
      <c r="M175" s="50">
        <f t="shared" si="6"/>
        <v>56</v>
      </c>
      <c r="N175" s="50">
        <f t="shared" si="7"/>
        <v>58</v>
      </c>
    </row>
    <row r="176" spans="1:14" hidden="1">
      <c r="A176" s="36" t="s">
        <v>8</v>
      </c>
      <c r="B176" s="39">
        <v>2022</v>
      </c>
      <c r="C176" s="35"/>
      <c r="D176" s="35"/>
      <c r="E176" s="35"/>
      <c r="F176" s="35" t="s">
        <v>321</v>
      </c>
      <c r="G176" s="35"/>
      <c r="H176" s="39"/>
      <c r="I176" s="35"/>
      <c r="J176" s="35"/>
      <c r="K176" s="35"/>
      <c r="L176" s="35"/>
      <c r="M176" s="50"/>
      <c r="N176" s="50"/>
    </row>
    <row r="177" spans="1:14" hidden="1">
      <c r="A177" s="36" t="s">
        <v>8</v>
      </c>
      <c r="B177" s="39">
        <v>2022</v>
      </c>
      <c r="C177" s="35" t="s">
        <v>396</v>
      </c>
      <c r="D177" s="48">
        <v>2021</v>
      </c>
      <c r="E177" s="48">
        <v>2024</v>
      </c>
      <c r="F177" s="48" t="s">
        <v>320</v>
      </c>
      <c r="G177" s="48" t="s">
        <v>323</v>
      </c>
      <c r="H177" s="47">
        <v>1971</v>
      </c>
      <c r="I177" s="48" t="s">
        <v>324</v>
      </c>
      <c r="J177" s="48" t="s">
        <v>325</v>
      </c>
      <c r="K177" s="35"/>
      <c r="L177" s="35"/>
      <c r="M177" s="50">
        <f t="shared" si="6"/>
        <v>50</v>
      </c>
      <c r="N177" s="50">
        <f t="shared" si="7"/>
        <v>51</v>
      </c>
    </row>
    <row r="178" spans="1:14" hidden="1">
      <c r="A178" s="35" t="s">
        <v>9</v>
      </c>
      <c r="B178" s="39">
        <v>2012</v>
      </c>
      <c r="C178" s="32" t="s">
        <v>399</v>
      </c>
      <c r="D178" s="32">
        <v>2012</v>
      </c>
      <c r="E178" s="32">
        <v>2016</v>
      </c>
      <c r="F178" s="32" t="s">
        <v>321</v>
      </c>
      <c r="G178" s="32" t="s">
        <v>323</v>
      </c>
      <c r="H178" s="38">
        <v>1962</v>
      </c>
      <c r="I178" s="32" t="s">
        <v>389</v>
      </c>
      <c r="J178" s="32" t="s">
        <v>325</v>
      </c>
      <c r="K178" s="32" t="s">
        <v>400</v>
      </c>
      <c r="L178" s="32" t="s">
        <v>324</v>
      </c>
      <c r="M178" s="50">
        <f t="shared" si="6"/>
        <v>50</v>
      </c>
      <c r="N178" s="50">
        <f t="shared" si="7"/>
        <v>50</v>
      </c>
    </row>
    <row r="179" spans="1:14" hidden="1">
      <c r="A179" s="35" t="s">
        <v>9</v>
      </c>
      <c r="B179" s="39">
        <v>2012</v>
      </c>
      <c r="C179" s="32" t="s">
        <v>407</v>
      </c>
      <c r="D179" s="32">
        <v>2008</v>
      </c>
      <c r="E179" s="32">
        <v>2013</v>
      </c>
      <c r="F179" s="32" t="s">
        <v>320</v>
      </c>
      <c r="G179" s="32" t="s">
        <v>323</v>
      </c>
      <c r="H179" s="38">
        <v>1956</v>
      </c>
      <c r="I179" s="32" t="s">
        <v>358</v>
      </c>
      <c r="J179" s="32" t="s">
        <v>325</v>
      </c>
      <c r="K179" s="32" t="s">
        <v>368</v>
      </c>
      <c r="L179" s="32" t="s">
        <v>358</v>
      </c>
      <c r="M179" s="50">
        <f t="shared" si="6"/>
        <v>52</v>
      </c>
      <c r="N179" s="50">
        <f t="shared" si="7"/>
        <v>56</v>
      </c>
    </row>
    <row r="180" spans="1:14" hidden="1">
      <c r="A180" s="35" t="s">
        <v>9</v>
      </c>
      <c r="B180" s="39">
        <v>2013</v>
      </c>
      <c r="C180" s="32" t="s">
        <v>399</v>
      </c>
      <c r="D180" s="32">
        <v>2012</v>
      </c>
      <c r="E180" s="32">
        <v>2016</v>
      </c>
      <c r="F180" s="32" t="s">
        <v>321</v>
      </c>
      <c r="G180" s="32" t="s">
        <v>323</v>
      </c>
      <c r="H180" s="38">
        <v>1962</v>
      </c>
      <c r="I180" s="32" t="s">
        <v>389</v>
      </c>
      <c r="J180" s="32" t="s">
        <v>325</v>
      </c>
      <c r="K180" s="32" t="s">
        <v>400</v>
      </c>
      <c r="L180" s="32" t="s">
        <v>324</v>
      </c>
      <c r="M180" s="50">
        <f t="shared" si="6"/>
        <v>50</v>
      </c>
      <c r="N180" s="50">
        <f t="shared" si="7"/>
        <v>51</v>
      </c>
    </row>
    <row r="181" spans="1:14" hidden="1">
      <c r="A181" s="35" t="s">
        <v>9</v>
      </c>
      <c r="B181" s="39">
        <v>2013</v>
      </c>
      <c r="C181" s="32" t="s">
        <v>368</v>
      </c>
      <c r="D181" s="32">
        <v>2013</v>
      </c>
      <c r="E181" s="32">
        <v>2019</v>
      </c>
      <c r="F181" s="32" t="s">
        <v>320</v>
      </c>
      <c r="G181" s="32" t="s">
        <v>323</v>
      </c>
      <c r="H181" s="38">
        <v>1962</v>
      </c>
      <c r="I181" s="32" t="s">
        <v>358</v>
      </c>
      <c r="J181" s="32" t="s">
        <v>325</v>
      </c>
      <c r="K181" s="32" t="s">
        <v>401</v>
      </c>
      <c r="L181" s="32" t="s">
        <v>350</v>
      </c>
      <c r="M181" s="50">
        <f t="shared" si="6"/>
        <v>51</v>
      </c>
      <c r="N181" s="50">
        <f t="shared" si="7"/>
        <v>51</v>
      </c>
    </row>
    <row r="182" spans="1:14" hidden="1">
      <c r="A182" s="35" t="s">
        <v>9</v>
      </c>
      <c r="B182" s="39">
        <v>2014</v>
      </c>
      <c r="C182" s="32" t="s">
        <v>399</v>
      </c>
      <c r="D182" s="32">
        <v>2012</v>
      </c>
      <c r="E182" s="32">
        <v>2016</v>
      </c>
      <c r="F182" s="32" t="s">
        <v>321</v>
      </c>
      <c r="G182" s="32" t="s">
        <v>323</v>
      </c>
      <c r="H182" s="38">
        <v>1962</v>
      </c>
      <c r="I182" s="32" t="s">
        <v>389</v>
      </c>
      <c r="J182" s="32" t="s">
        <v>325</v>
      </c>
      <c r="K182" s="32" t="s">
        <v>400</v>
      </c>
      <c r="L182" s="32" t="s">
        <v>324</v>
      </c>
      <c r="M182" s="50">
        <f t="shared" si="6"/>
        <v>50</v>
      </c>
      <c r="N182" s="50">
        <f t="shared" si="7"/>
        <v>52</v>
      </c>
    </row>
    <row r="183" spans="1:14" hidden="1">
      <c r="A183" s="35" t="s">
        <v>9</v>
      </c>
      <c r="B183" s="39">
        <v>2014</v>
      </c>
      <c r="C183" s="32" t="s">
        <v>368</v>
      </c>
      <c r="D183" s="32">
        <v>2013</v>
      </c>
      <c r="E183" s="32">
        <v>2019</v>
      </c>
      <c r="F183" s="32" t="s">
        <v>320</v>
      </c>
      <c r="G183" s="32" t="s">
        <v>323</v>
      </c>
      <c r="H183" s="38">
        <v>1962</v>
      </c>
      <c r="I183" s="32" t="s">
        <v>358</v>
      </c>
      <c r="J183" s="32" t="s">
        <v>325</v>
      </c>
      <c r="K183" s="32" t="s">
        <v>401</v>
      </c>
      <c r="L183" s="32" t="s">
        <v>350</v>
      </c>
      <c r="M183" s="50">
        <f t="shared" si="6"/>
        <v>51</v>
      </c>
      <c r="N183" s="50">
        <f t="shared" si="7"/>
        <v>52</v>
      </c>
    </row>
    <row r="184" spans="1:14" hidden="1">
      <c r="A184" s="36" t="s">
        <v>9</v>
      </c>
      <c r="B184" s="39">
        <v>2015</v>
      </c>
      <c r="C184" s="32" t="s">
        <v>399</v>
      </c>
      <c r="D184" s="32">
        <v>2012</v>
      </c>
      <c r="E184" s="32">
        <v>2016</v>
      </c>
      <c r="F184" s="32" t="s">
        <v>321</v>
      </c>
      <c r="G184" s="32" t="s">
        <v>323</v>
      </c>
      <c r="H184" s="38">
        <v>1962</v>
      </c>
      <c r="I184" s="32" t="s">
        <v>389</v>
      </c>
      <c r="J184" s="32" t="s">
        <v>325</v>
      </c>
      <c r="K184" s="32" t="s">
        <v>400</v>
      </c>
      <c r="L184" s="32" t="s">
        <v>324</v>
      </c>
      <c r="M184" s="50">
        <f t="shared" si="6"/>
        <v>50</v>
      </c>
      <c r="N184" s="50">
        <f t="shared" si="7"/>
        <v>53</v>
      </c>
    </row>
    <row r="185" spans="1:14" hidden="1">
      <c r="A185" s="36" t="s">
        <v>9</v>
      </c>
      <c r="B185" s="39">
        <v>2015</v>
      </c>
      <c r="C185" s="32" t="s">
        <v>368</v>
      </c>
      <c r="D185" s="32">
        <v>2013</v>
      </c>
      <c r="E185" s="32">
        <v>2019</v>
      </c>
      <c r="F185" s="32" t="s">
        <v>320</v>
      </c>
      <c r="G185" s="32" t="s">
        <v>323</v>
      </c>
      <c r="H185" s="38">
        <v>1962</v>
      </c>
      <c r="I185" s="32" t="s">
        <v>358</v>
      </c>
      <c r="J185" s="32" t="s">
        <v>325</v>
      </c>
      <c r="K185" s="32" t="s">
        <v>401</v>
      </c>
      <c r="L185" s="32" t="s">
        <v>350</v>
      </c>
      <c r="M185" s="50">
        <f t="shared" si="6"/>
        <v>51</v>
      </c>
      <c r="N185" s="50">
        <f t="shared" si="7"/>
        <v>53</v>
      </c>
    </row>
    <row r="186" spans="1:14" hidden="1">
      <c r="A186" s="36" t="s">
        <v>9</v>
      </c>
      <c r="B186" s="39">
        <v>2016</v>
      </c>
      <c r="C186" s="32" t="s">
        <v>400</v>
      </c>
      <c r="D186" s="32">
        <v>2016</v>
      </c>
      <c r="E186" s="32">
        <v>2017</v>
      </c>
      <c r="F186" s="32" t="s">
        <v>321</v>
      </c>
      <c r="G186" s="32" t="s">
        <v>323</v>
      </c>
      <c r="H186" s="38">
        <v>1964</v>
      </c>
      <c r="I186" s="32" t="s">
        <v>324</v>
      </c>
      <c r="J186" s="32" t="s">
        <v>340</v>
      </c>
      <c r="K186" s="32" t="s">
        <v>401</v>
      </c>
      <c r="L186" s="32" t="s">
        <v>350</v>
      </c>
      <c r="M186" s="50">
        <f t="shared" si="6"/>
        <v>52</v>
      </c>
      <c r="N186" s="50">
        <f t="shared" si="7"/>
        <v>52</v>
      </c>
    </row>
    <row r="187" spans="1:14" hidden="1">
      <c r="A187" s="36" t="s">
        <v>9</v>
      </c>
      <c r="B187" s="39">
        <v>2016</v>
      </c>
      <c r="C187" s="32" t="s">
        <v>368</v>
      </c>
      <c r="D187" s="32">
        <v>2013</v>
      </c>
      <c r="E187" s="32">
        <v>2019</v>
      </c>
      <c r="F187" s="32" t="s">
        <v>320</v>
      </c>
      <c r="G187" s="32" t="s">
        <v>323</v>
      </c>
      <c r="H187" s="38">
        <v>1962</v>
      </c>
      <c r="I187" s="32" t="s">
        <v>358</v>
      </c>
      <c r="J187" s="32" t="s">
        <v>325</v>
      </c>
      <c r="K187" s="32" t="s">
        <v>401</v>
      </c>
      <c r="L187" s="32" t="s">
        <v>350</v>
      </c>
      <c r="M187" s="50">
        <f t="shared" si="6"/>
        <v>51</v>
      </c>
      <c r="N187" s="50">
        <f t="shared" si="7"/>
        <v>54</v>
      </c>
    </row>
    <row r="188" spans="1:14" hidden="1">
      <c r="A188" s="36" t="s">
        <v>9</v>
      </c>
      <c r="B188" s="39">
        <v>2017</v>
      </c>
      <c r="C188" s="32" t="s">
        <v>401</v>
      </c>
      <c r="D188" s="32">
        <v>2017</v>
      </c>
      <c r="E188" s="32">
        <v>2019</v>
      </c>
      <c r="F188" s="32" t="s">
        <v>321</v>
      </c>
      <c r="G188" s="32" t="s">
        <v>335</v>
      </c>
      <c r="H188" s="38">
        <v>1971</v>
      </c>
      <c r="I188" s="32" t="s">
        <v>350</v>
      </c>
      <c r="J188" s="32" t="s">
        <v>325</v>
      </c>
      <c r="K188" s="32" t="s">
        <v>402</v>
      </c>
      <c r="L188" s="32" t="s">
        <v>403</v>
      </c>
      <c r="M188" s="50">
        <f t="shared" si="6"/>
        <v>46</v>
      </c>
      <c r="N188" s="50">
        <f t="shared" si="7"/>
        <v>46</v>
      </c>
    </row>
    <row r="189" spans="1:14" hidden="1">
      <c r="A189" s="36" t="s">
        <v>9</v>
      </c>
      <c r="B189" s="39">
        <v>2017</v>
      </c>
      <c r="C189" s="32" t="s">
        <v>368</v>
      </c>
      <c r="D189" s="32">
        <v>2013</v>
      </c>
      <c r="E189" s="32">
        <v>2019</v>
      </c>
      <c r="F189" s="32" t="s">
        <v>320</v>
      </c>
      <c r="G189" s="32" t="s">
        <v>323</v>
      </c>
      <c r="H189" s="38">
        <v>1962</v>
      </c>
      <c r="I189" s="32" t="s">
        <v>358</v>
      </c>
      <c r="J189" s="32" t="s">
        <v>325</v>
      </c>
      <c r="K189" s="32" t="s">
        <v>401</v>
      </c>
      <c r="L189" s="32" t="s">
        <v>350</v>
      </c>
      <c r="M189" s="50">
        <f t="shared" si="6"/>
        <v>51</v>
      </c>
      <c r="N189" s="50">
        <f t="shared" si="7"/>
        <v>55</v>
      </c>
    </row>
    <row r="190" spans="1:14" hidden="1">
      <c r="A190" s="36" t="s">
        <v>9</v>
      </c>
      <c r="B190" s="39">
        <v>2018</v>
      </c>
      <c r="C190" s="32" t="s">
        <v>401</v>
      </c>
      <c r="D190" s="32">
        <v>2017</v>
      </c>
      <c r="E190" s="32">
        <v>2019</v>
      </c>
      <c r="F190" s="32" t="s">
        <v>321</v>
      </c>
      <c r="G190" s="32" t="s">
        <v>335</v>
      </c>
      <c r="H190" s="38">
        <v>1971</v>
      </c>
      <c r="I190" s="32" t="s">
        <v>350</v>
      </c>
      <c r="J190" s="32" t="s">
        <v>325</v>
      </c>
      <c r="K190" s="32" t="s">
        <v>402</v>
      </c>
      <c r="L190" s="32" t="s">
        <v>403</v>
      </c>
      <c r="M190" s="50">
        <f t="shared" si="6"/>
        <v>46</v>
      </c>
      <c r="N190" s="50">
        <f t="shared" si="7"/>
        <v>47</v>
      </c>
    </row>
    <row r="191" spans="1:14" hidden="1">
      <c r="A191" s="36" t="s">
        <v>9</v>
      </c>
      <c r="B191" s="39">
        <v>2018</v>
      </c>
      <c r="C191" s="32" t="s">
        <v>368</v>
      </c>
      <c r="D191" s="32">
        <v>2013</v>
      </c>
      <c r="E191" s="32">
        <v>2019</v>
      </c>
      <c r="F191" s="32" t="s">
        <v>320</v>
      </c>
      <c r="G191" s="32" t="s">
        <v>323</v>
      </c>
      <c r="H191" s="38">
        <v>1962</v>
      </c>
      <c r="I191" s="32" t="s">
        <v>358</v>
      </c>
      <c r="J191" s="32" t="s">
        <v>325</v>
      </c>
      <c r="K191" s="32" t="s">
        <v>401</v>
      </c>
      <c r="L191" s="32" t="s">
        <v>350</v>
      </c>
      <c r="M191" s="50">
        <f t="shared" si="6"/>
        <v>51</v>
      </c>
      <c r="N191" s="50">
        <f t="shared" si="7"/>
        <v>56</v>
      </c>
    </row>
    <row r="192" spans="1:14" hidden="1">
      <c r="A192" s="36" t="s">
        <v>9</v>
      </c>
      <c r="B192" s="39">
        <v>2019</v>
      </c>
      <c r="C192" s="32" t="s">
        <v>401</v>
      </c>
      <c r="D192" s="32">
        <v>2017</v>
      </c>
      <c r="E192" s="32">
        <v>2019</v>
      </c>
      <c r="F192" s="32" t="s">
        <v>321</v>
      </c>
      <c r="G192" s="32" t="s">
        <v>335</v>
      </c>
      <c r="H192" s="38">
        <v>1971</v>
      </c>
      <c r="I192" s="32" t="s">
        <v>350</v>
      </c>
      <c r="J192" s="32" t="s">
        <v>325</v>
      </c>
      <c r="K192" s="32" t="s">
        <v>402</v>
      </c>
      <c r="L192" s="32" t="s">
        <v>403</v>
      </c>
      <c r="M192" s="50">
        <f t="shared" si="6"/>
        <v>46</v>
      </c>
      <c r="N192" s="50">
        <f t="shared" si="7"/>
        <v>48</v>
      </c>
    </row>
    <row r="193" spans="1:14" hidden="1">
      <c r="A193" s="36" t="s">
        <v>9</v>
      </c>
      <c r="B193" s="39">
        <v>2019</v>
      </c>
      <c r="C193" s="32" t="s">
        <v>368</v>
      </c>
      <c r="D193" s="32">
        <v>2013</v>
      </c>
      <c r="E193" s="32">
        <v>2019</v>
      </c>
      <c r="F193" s="32" t="s">
        <v>320</v>
      </c>
      <c r="G193" s="32" t="s">
        <v>323</v>
      </c>
      <c r="H193" s="38">
        <v>1962</v>
      </c>
      <c r="I193" s="32" t="s">
        <v>358</v>
      </c>
      <c r="J193" s="32" t="s">
        <v>325</v>
      </c>
      <c r="K193" s="32" t="s">
        <v>401</v>
      </c>
      <c r="L193" s="32" t="s">
        <v>350</v>
      </c>
      <c r="M193" s="50">
        <f t="shared" si="6"/>
        <v>51</v>
      </c>
      <c r="N193" s="50">
        <f t="shared" si="7"/>
        <v>57</v>
      </c>
    </row>
    <row r="194" spans="1:14" hidden="1">
      <c r="A194" s="36" t="s">
        <v>9</v>
      </c>
      <c r="B194" s="39">
        <v>2020</v>
      </c>
      <c r="C194" s="33" t="s">
        <v>402</v>
      </c>
      <c r="D194" s="32">
        <v>2019</v>
      </c>
      <c r="E194" s="32">
        <v>2021</v>
      </c>
      <c r="F194" s="32" t="s">
        <v>321</v>
      </c>
      <c r="G194" s="32" t="s">
        <v>323</v>
      </c>
      <c r="H194" s="38">
        <v>1974</v>
      </c>
      <c r="I194" s="32" t="s">
        <v>403</v>
      </c>
      <c r="J194" s="32" t="s">
        <v>340</v>
      </c>
      <c r="K194" s="32" t="s">
        <v>404</v>
      </c>
      <c r="L194" s="32" t="s">
        <v>405</v>
      </c>
      <c r="M194" s="50">
        <f t="shared" si="6"/>
        <v>45</v>
      </c>
      <c r="N194" s="50">
        <f t="shared" si="7"/>
        <v>46</v>
      </c>
    </row>
    <row r="195" spans="1:14" hidden="1">
      <c r="A195" s="36" t="s">
        <v>9</v>
      </c>
      <c r="B195" s="39">
        <v>2020</v>
      </c>
      <c r="C195" s="32" t="s">
        <v>401</v>
      </c>
      <c r="D195" s="32">
        <v>2019</v>
      </c>
      <c r="E195" s="32">
        <v>2021</v>
      </c>
      <c r="F195" s="32" t="s">
        <v>320</v>
      </c>
      <c r="G195" s="32" t="s">
        <v>335</v>
      </c>
      <c r="H195" s="38">
        <v>1971</v>
      </c>
      <c r="I195" s="32" t="s">
        <v>350</v>
      </c>
      <c r="J195" s="32" t="s">
        <v>325</v>
      </c>
      <c r="K195" s="32" t="s">
        <v>402</v>
      </c>
      <c r="L195" s="32" t="s">
        <v>408</v>
      </c>
      <c r="M195" s="50">
        <f t="shared" ref="M195:M258" si="8">D195-H195</f>
        <v>48</v>
      </c>
      <c r="N195" s="50">
        <f t="shared" ref="N195:N258" si="9">B195-H195</f>
        <v>49</v>
      </c>
    </row>
    <row r="196" spans="1:14" hidden="1">
      <c r="A196" s="36" t="s">
        <v>9</v>
      </c>
      <c r="B196" s="39">
        <v>2021</v>
      </c>
      <c r="C196" s="33" t="s">
        <v>402</v>
      </c>
      <c r="D196" s="32">
        <v>2019</v>
      </c>
      <c r="E196" s="32">
        <v>2021</v>
      </c>
      <c r="F196" s="32" t="s">
        <v>321</v>
      </c>
      <c r="G196" s="32" t="s">
        <v>323</v>
      </c>
      <c r="H196" s="38">
        <v>1974</v>
      </c>
      <c r="I196" s="32" t="s">
        <v>403</v>
      </c>
      <c r="J196" s="32" t="s">
        <v>340</v>
      </c>
      <c r="K196" s="32" t="s">
        <v>404</v>
      </c>
      <c r="L196" s="32" t="s">
        <v>405</v>
      </c>
      <c r="M196" s="50">
        <f t="shared" si="8"/>
        <v>45</v>
      </c>
      <c r="N196" s="50">
        <f t="shared" si="9"/>
        <v>47</v>
      </c>
    </row>
    <row r="197" spans="1:14" hidden="1">
      <c r="A197" s="36" t="s">
        <v>9</v>
      </c>
      <c r="B197" s="39">
        <v>2021</v>
      </c>
      <c r="C197" s="32" t="s">
        <v>402</v>
      </c>
      <c r="D197" s="32">
        <v>2021</v>
      </c>
      <c r="E197" s="32">
        <v>2023</v>
      </c>
      <c r="F197" s="32" t="s">
        <v>320</v>
      </c>
      <c r="G197" s="32" t="s">
        <v>323</v>
      </c>
      <c r="H197" s="38">
        <v>1974</v>
      </c>
      <c r="I197" s="32" t="s">
        <v>403</v>
      </c>
      <c r="J197" s="32" t="s">
        <v>340</v>
      </c>
      <c r="K197" s="32"/>
      <c r="L197" s="32"/>
      <c r="M197" s="50">
        <f t="shared" si="8"/>
        <v>47</v>
      </c>
      <c r="N197" s="50">
        <f t="shared" si="9"/>
        <v>47</v>
      </c>
    </row>
    <row r="198" spans="1:14" hidden="1">
      <c r="A198" s="36" t="s">
        <v>9</v>
      </c>
      <c r="B198" s="39">
        <v>2022</v>
      </c>
      <c r="C198" s="35"/>
      <c r="D198" s="35"/>
      <c r="E198" s="35"/>
      <c r="F198" s="35" t="s">
        <v>321</v>
      </c>
      <c r="G198" s="35"/>
      <c r="H198" s="39"/>
      <c r="I198" s="35"/>
      <c r="J198" s="35"/>
      <c r="K198" s="35"/>
      <c r="L198" s="35"/>
      <c r="M198" s="50"/>
      <c r="N198" s="50"/>
    </row>
    <row r="199" spans="1:14" hidden="1">
      <c r="A199" s="36" t="s">
        <v>9</v>
      </c>
      <c r="B199" s="39">
        <v>2022</v>
      </c>
      <c r="C199" s="32" t="s">
        <v>402</v>
      </c>
      <c r="D199" s="48">
        <v>2021</v>
      </c>
      <c r="E199" s="48">
        <v>2023</v>
      </c>
      <c r="F199" s="48" t="s">
        <v>320</v>
      </c>
      <c r="G199" s="48" t="s">
        <v>323</v>
      </c>
      <c r="H199" s="47">
        <v>1974</v>
      </c>
      <c r="I199" s="32" t="s">
        <v>403</v>
      </c>
      <c r="J199" s="32" t="s">
        <v>340</v>
      </c>
      <c r="K199" s="35"/>
      <c r="L199" s="35"/>
      <c r="M199" s="50">
        <f t="shared" si="8"/>
        <v>47</v>
      </c>
      <c r="N199" s="50">
        <f t="shared" si="9"/>
        <v>48</v>
      </c>
    </row>
    <row r="200" spans="1:14" hidden="1">
      <c r="A200" s="35" t="s">
        <v>10</v>
      </c>
      <c r="B200" s="39">
        <v>2012</v>
      </c>
      <c r="C200" s="32" t="s">
        <v>357</v>
      </c>
      <c r="D200" s="32">
        <v>2011</v>
      </c>
      <c r="E200" s="32">
        <v>2014</v>
      </c>
      <c r="F200" s="32" t="s">
        <v>321</v>
      </c>
      <c r="G200" s="32" t="s">
        <v>323</v>
      </c>
      <c r="H200" s="38">
        <v>1964</v>
      </c>
      <c r="I200" s="32" t="s">
        <v>358</v>
      </c>
      <c r="J200" s="32" t="s">
        <v>325</v>
      </c>
      <c r="K200" s="32" t="s">
        <v>410</v>
      </c>
      <c r="L200" s="32" t="s">
        <v>379</v>
      </c>
      <c r="M200" s="50">
        <f t="shared" si="8"/>
        <v>47</v>
      </c>
      <c r="N200" s="50">
        <f t="shared" si="9"/>
        <v>48</v>
      </c>
    </row>
    <row r="201" spans="1:14" hidden="1">
      <c r="A201" s="35" t="s">
        <v>10</v>
      </c>
      <c r="B201" s="39">
        <v>2012</v>
      </c>
      <c r="C201" s="32" t="s">
        <v>409</v>
      </c>
      <c r="D201" s="32">
        <v>2006</v>
      </c>
      <c r="E201" s="32">
        <v>2013</v>
      </c>
      <c r="F201" s="32" t="s">
        <v>320</v>
      </c>
      <c r="G201" s="32" t="s">
        <v>323</v>
      </c>
      <c r="H201" s="38">
        <v>1955</v>
      </c>
      <c r="I201" s="32" t="s">
        <v>367</v>
      </c>
      <c r="J201" s="32" t="s">
        <v>325</v>
      </c>
      <c r="K201" s="32" t="s">
        <v>392</v>
      </c>
      <c r="L201" s="32" t="s">
        <v>367</v>
      </c>
      <c r="M201" s="50">
        <f t="shared" si="8"/>
        <v>51</v>
      </c>
      <c r="N201" s="50">
        <f t="shared" si="9"/>
        <v>57</v>
      </c>
    </row>
    <row r="202" spans="1:14" hidden="1">
      <c r="A202" s="35" t="s">
        <v>10</v>
      </c>
      <c r="B202" s="39">
        <v>2013</v>
      </c>
      <c r="C202" s="32" t="s">
        <v>357</v>
      </c>
      <c r="D202" s="32">
        <v>2011</v>
      </c>
      <c r="E202" s="32">
        <v>2014</v>
      </c>
      <c r="F202" s="32" t="s">
        <v>321</v>
      </c>
      <c r="G202" s="32" t="s">
        <v>323</v>
      </c>
      <c r="H202" s="38">
        <v>1964</v>
      </c>
      <c r="I202" s="32" t="s">
        <v>358</v>
      </c>
      <c r="J202" s="32" t="s">
        <v>325</v>
      </c>
      <c r="K202" s="32" t="s">
        <v>410</v>
      </c>
      <c r="L202" s="32" t="s">
        <v>379</v>
      </c>
      <c r="M202" s="50">
        <f t="shared" si="8"/>
        <v>47</v>
      </c>
      <c r="N202" s="50">
        <f t="shared" si="9"/>
        <v>49</v>
      </c>
    </row>
    <row r="203" spans="1:14" hidden="1">
      <c r="A203" s="35" t="s">
        <v>10</v>
      </c>
      <c r="B203" s="39">
        <v>2013</v>
      </c>
      <c r="C203" s="32" t="s">
        <v>392</v>
      </c>
      <c r="D203" s="32">
        <v>2013</v>
      </c>
      <c r="E203" s="32">
        <v>2016</v>
      </c>
      <c r="F203" s="32" t="s">
        <v>320</v>
      </c>
      <c r="G203" s="32" t="s">
        <v>323</v>
      </c>
      <c r="H203" s="38">
        <v>1957</v>
      </c>
      <c r="I203" s="32" t="s">
        <v>367</v>
      </c>
      <c r="J203" s="32" t="s">
        <v>325</v>
      </c>
      <c r="K203" s="32" t="s">
        <v>410</v>
      </c>
      <c r="L203" s="32" t="s">
        <v>379</v>
      </c>
      <c r="M203" s="50">
        <f t="shared" si="8"/>
        <v>56</v>
      </c>
      <c r="N203" s="50">
        <f t="shared" si="9"/>
        <v>56</v>
      </c>
    </row>
    <row r="204" spans="1:14" hidden="1">
      <c r="A204" s="35" t="s">
        <v>10</v>
      </c>
      <c r="B204" s="39">
        <v>2014</v>
      </c>
      <c r="C204" s="32" t="s">
        <v>357</v>
      </c>
      <c r="D204" s="32">
        <v>2011</v>
      </c>
      <c r="E204" s="32">
        <v>2014</v>
      </c>
      <c r="F204" s="32" t="s">
        <v>321</v>
      </c>
      <c r="G204" s="32" t="s">
        <v>323</v>
      </c>
      <c r="H204" s="38">
        <v>1964</v>
      </c>
      <c r="I204" s="32" t="s">
        <v>358</v>
      </c>
      <c r="J204" s="32" t="s">
        <v>325</v>
      </c>
      <c r="K204" s="32" t="s">
        <v>410</v>
      </c>
      <c r="L204" s="32" t="s">
        <v>379</v>
      </c>
      <c r="M204" s="50">
        <f t="shared" si="8"/>
        <v>47</v>
      </c>
      <c r="N204" s="50">
        <f t="shared" si="9"/>
        <v>50</v>
      </c>
    </row>
    <row r="205" spans="1:14" hidden="1">
      <c r="A205" s="35" t="s">
        <v>10</v>
      </c>
      <c r="B205" s="39">
        <v>2014</v>
      </c>
      <c r="C205" s="32" t="s">
        <v>392</v>
      </c>
      <c r="D205" s="32">
        <v>2013</v>
      </c>
      <c r="E205" s="32">
        <v>2016</v>
      </c>
      <c r="F205" s="32" t="s">
        <v>320</v>
      </c>
      <c r="G205" s="32" t="s">
        <v>323</v>
      </c>
      <c r="H205" s="38">
        <v>1957</v>
      </c>
      <c r="I205" s="32" t="s">
        <v>367</v>
      </c>
      <c r="J205" s="32" t="s">
        <v>325</v>
      </c>
      <c r="K205" s="32" t="s">
        <v>410</v>
      </c>
      <c r="L205" s="32" t="s">
        <v>379</v>
      </c>
      <c r="M205" s="50">
        <f t="shared" si="8"/>
        <v>56</v>
      </c>
      <c r="N205" s="50">
        <f t="shared" si="9"/>
        <v>57</v>
      </c>
    </row>
    <row r="206" spans="1:14" hidden="1">
      <c r="A206" s="36" t="s">
        <v>10</v>
      </c>
      <c r="B206" s="39">
        <v>2015</v>
      </c>
      <c r="C206" s="32" t="s">
        <v>410</v>
      </c>
      <c r="D206" s="32">
        <v>2014</v>
      </c>
      <c r="E206" s="32">
        <v>2016</v>
      </c>
      <c r="F206" s="32" t="s">
        <v>321</v>
      </c>
      <c r="G206" s="32" t="s">
        <v>323</v>
      </c>
      <c r="H206" s="38">
        <v>1960</v>
      </c>
      <c r="I206" s="32" t="s">
        <v>379</v>
      </c>
      <c r="J206" s="32" t="s">
        <v>325</v>
      </c>
      <c r="K206" s="32" t="s">
        <v>411</v>
      </c>
      <c r="L206" s="32" t="s">
        <v>412</v>
      </c>
      <c r="M206" s="50">
        <f t="shared" si="8"/>
        <v>54</v>
      </c>
      <c r="N206" s="50">
        <f t="shared" si="9"/>
        <v>55</v>
      </c>
    </row>
    <row r="207" spans="1:14" hidden="1">
      <c r="A207" s="36" t="s">
        <v>10</v>
      </c>
      <c r="B207" s="39">
        <v>2015</v>
      </c>
      <c r="C207" s="32" t="s">
        <v>392</v>
      </c>
      <c r="D207" s="32">
        <v>2013</v>
      </c>
      <c r="E207" s="32">
        <v>2016</v>
      </c>
      <c r="F207" s="32" t="s">
        <v>320</v>
      </c>
      <c r="G207" s="32" t="s">
        <v>323</v>
      </c>
      <c r="H207" s="38">
        <v>1957</v>
      </c>
      <c r="I207" s="32" t="s">
        <v>367</v>
      </c>
      <c r="J207" s="32" t="s">
        <v>325</v>
      </c>
      <c r="K207" s="32" t="s">
        <v>410</v>
      </c>
      <c r="L207" s="32" t="s">
        <v>379</v>
      </c>
      <c r="M207" s="50">
        <f t="shared" si="8"/>
        <v>56</v>
      </c>
      <c r="N207" s="50">
        <f t="shared" si="9"/>
        <v>58</v>
      </c>
    </row>
    <row r="208" spans="1:14" hidden="1">
      <c r="A208" s="36" t="s">
        <v>10</v>
      </c>
      <c r="B208" s="39">
        <v>2016</v>
      </c>
      <c r="C208" s="32" t="s">
        <v>410</v>
      </c>
      <c r="D208" s="32">
        <v>2014</v>
      </c>
      <c r="E208" s="32">
        <v>2016</v>
      </c>
      <c r="F208" s="32" t="s">
        <v>321</v>
      </c>
      <c r="G208" s="32" t="s">
        <v>323</v>
      </c>
      <c r="H208" s="38">
        <v>1960</v>
      </c>
      <c r="I208" s="32" t="s">
        <v>379</v>
      </c>
      <c r="J208" s="32" t="s">
        <v>325</v>
      </c>
      <c r="K208" s="32" t="s">
        <v>411</v>
      </c>
      <c r="L208" s="32" t="s">
        <v>412</v>
      </c>
      <c r="M208" s="50">
        <f t="shared" si="8"/>
        <v>54</v>
      </c>
      <c r="N208" s="50">
        <f t="shared" si="9"/>
        <v>56</v>
      </c>
    </row>
    <row r="209" spans="1:14" hidden="1">
      <c r="A209" s="36" t="s">
        <v>10</v>
      </c>
      <c r="B209" s="39">
        <v>2016</v>
      </c>
      <c r="C209" s="32" t="s">
        <v>392</v>
      </c>
      <c r="D209" s="32">
        <v>2013</v>
      </c>
      <c r="E209" s="32">
        <v>2016</v>
      </c>
      <c r="F209" s="32" t="s">
        <v>320</v>
      </c>
      <c r="G209" s="32" t="s">
        <v>323</v>
      </c>
      <c r="H209" s="38">
        <v>1957</v>
      </c>
      <c r="I209" s="32" t="s">
        <v>367</v>
      </c>
      <c r="J209" s="32" t="s">
        <v>325</v>
      </c>
      <c r="K209" s="32" t="s">
        <v>410</v>
      </c>
      <c r="L209" s="32" t="s">
        <v>379</v>
      </c>
      <c r="M209" s="50">
        <f t="shared" si="8"/>
        <v>56</v>
      </c>
      <c r="N209" s="50">
        <f t="shared" si="9"/>
        <v>59</v>
      </c>
    </row>
    <row r="210" spans="1:14" hidden="1">
      <c r="A210" s="36" t="s">
        <v>10</v>
      </c>
      <c r="B210" s="39">
        <v>2017</v>
      </c>
      <c r="C210" s="32" t="s">
        <v>411</v>
      </c>
      <c r="D210" s="32">
        <v>2016</v>
      </c>
      <c r="E210" s="32">
        <v>2018</v>
      </c>
      <c r="F210" s="32" t="s">
        <v>321</v>
      </c>
      <c r="G210" s="32" t="s">
        <v>323</v>
      </c>
      <c r="H210" s="38">
        <v>1962</v>
      </c>
      <c r="I210" s="32" t="s">
        <v>412</v>
      </c>
      <c r="J210" s="32" t="s">
        <v>340</v>
      </c>
      <c r="K210" s="32" t="s">
        <v>413</v>
      </c>
      <c r="L210" s="32" t="s">
        <v>412</v>
      </c>
      <c r="M210" s="50">
        <f t="shared" si="8"/>
        <v>54</v>
      </c>
      <c r="N210" s="50">
        <f t="shared" si="9"/>
        <v>55</v>
      </c>
    </row>
    <row r="211" spans="1:14" hidden="1">
      <c r="A211" s="36" t="s">
        <v>10</v>
      </c>
      <c r="B211" s="39">
        <v>2017</v>
      </c>
      <c r="C211" s="32" t="s">
        <v>410</v>
      </c>
      <c r="D211" s="32">
        <v>2016</v>
      </c>
      <c r="E211" s="32">
        <v>2018</v>
      </c>
      <c r="F211" s="32" t="s">
        <v>320</v>
      </c>
      <c r="G211" s="32" t="s">
        <v>323</v>
      </c>
      <c r="H211" s="38">
        <v>1960</v>
      </c>
      <c r="I211" s="32" t="s">
        <v>379</v>
      </c>
      <c r="J211" s="32" t="s">
        <v>325</v>
      </c>
      <c r="K211" s="32" t="s">
        <v>411</v>
      </c>
      <c r="L211" s="32" t="s">
        <v>412</v>
      </c>
      <c r="M211" s="50">
        <f t="shared" si="8"/>
        <v>56</v>
      </c>
      <c r="N211" s="50">
        <f t="shared" si="9"/>
        <v>57</v>
      </c>
    </row>
    <row r="212" spans="1:14" hidden="1">
      <c r="A212" s="36" t="s">
        <v>10</v>
      </c>
      <c r="B212" s="39">
        <v>2018</v>
      </c>
      <c r="C212" s="32" t="s">
        <v>413</v>
      </c>
      <c r="D212" s="32">
        <v>2018</v>
      </c>
      <c r="E212" s="32">
        <v>2021</v>
      </c>
      <c r="F212" s="32" t="s">
        <v>321</v>
      </c>
      <c r="G212" s="32" t="s">
        <v>323</v>
      </c>
      <c r="H212" s="38">
        <v>1971</v>
      </c>
      <c r="I212" s="32" t="s">
        <v>412</v>
      </c>
      <c r="J212" s="32" t="s">
        <v>325</v>
      </c>
      <c r="K212" s="32" t="s">
        <v>421</v>
      </c>
      <c r="L212" s="32" t="s">
        <v>422</v>
      </c>
      <c r="M212" s="50">
        <f t="shared" si="8"/>
        <v>47</v>
      </c>
      <c r="N212" s="50">
        <f t="shared" si="9"/>
        <v>47</v>
      </c>
    </row>
    <row r="213" spans="1:14" hidden="1">
      <c r="A213" s="36" t="s">
        <v>10</v>
      </c>
      <c r="B213" s="39">
        <v>2018</v>
      </c>
      <c r="C213" s="32" t="s">
        <v>411</v>
      </c>
      <c r="D213" s="32">
        <v>2018</v>
      </c>
      <c r="E213" s="32">
        <v>2021</v>
      </c>
      <c r="F213" s="32" t="s">
        <v>320</v>
      </c>
      <c r="G213" s="32" t="s">
        <v>323</v>
      </c>
      <c r="H213" s="38">
        <v>1962</v>
      </c>
      <c r="I213" s="32" t="s">
        <v>412</v>
      </c>
      <c r="J213" s="32" t="s">
        <v>340</v>
      </c>
      <c r="K213" s="32" t="s">
        <v>413</v>
      </c>
      <c r="L213" s="32" t="s">
        <v>414</v>
      </c>
      <c r="M213" s="50">
        <f t="shared" si="8"/>
        <v>56</v>
      </c>
      <c r="N213" s="50">
        <f t="shared" si="9"/>
        <v>56</v>
      </c>
    </row>
    <row r="214" spans="1:14" hidden="1">
      <c r="A214" s="36" t="s">
        <v>10</v>
      </c>
      <c r="B214" s="39">
        <v>2019</v>
      </c>
      <c r="C214" s="32" t="s">
        <v>413</v>
      </c>
      <c r="D214" s="32">
        <v>2018</v>
      </c>
      <c r="E214" s="32">
        <v>2021</v>
      </c>
      <c r="F214" s="32" t="s">
        <v>321</v>
      </c>
      <c r="G214" s="32" t="s">
        <v>323</v>
      </c>
      <c r="H214" s="38">
        <v>1971</v>
      </c>
      <c r="I214" s="32" t="s">
        <v>412</v>
      </c>
      <c r="J214" s="32" t="s">
        <v>325</v>
      </c>
      <c r="K214" s="32" t="s">
        <v>421</v>
      </c>
      <c r="L214" s="32" t="s">
        <v>422</v>
      </c>
      <c r="M214" s="50">
        <f t="shared" si="8"/>
        <v>47</v>
      </c>
      <c r="N214" s="50">
        <f t="shared" si="9"/>
        <v>48</v>
      </c>
    </row>
    <row r="215" spans="1:14" hidden="1">
      <c r="A215" s="36" t="s">
        <v>10</v>
      </c>
      <c r="B215" s="39">
        <v>2019</v>
      </c>
      <c r="C215" s="32" t="s">
        <v>411</v>
      </c>
      <c r="D215" s="32">
        <v>2018</v>
      </c>
      <c r="E215" s="32">
        <v>2021</v>
      </c>
      <c r="F215" s="32" t="s">
        <v>320</v>
      </c>
      <c r="G215" s="32" t="s">
        <v>323</v>
      </c>
      <c r="H215" s="38">
        <v>1962</v>
      </c>
      <c r="I215" s="32" t="s">
        <v>412</v>
      </c>
      <c r="J215" s="32" t="s">
        <v>340</v>
      </c>
      <c r="K215" s="32" t="s">
        <v>413</v>
      </c>
      <c r="L215" s="32" t="s">
        <v>414</v>
      </c>
      <c r="M215" s="50">
        <f t="shared" si="8"/>
        <v>56</v>
      </c>
      <c r="N215" s="50">
        <f t="shared" si="9"/>
        <v>57</v>
      </c>
    </row>
    <row r="216" spans="1:14" hidden="1">
      <c r="A216" s="36" t="s">
        <v>10</v>
      </c>
      <c r="B216" s="39">
        <v>2020</v>
      </c>
      <c r="C216" s="32" t="s">
        <v>413</v>
      </c>
      <c r="D216" s="32">
        <v>2018</v>
      </c>
      <c r="E216" s="32">
        <v>2021</v>
      </c>
      <c r="F216" s="32" t="s">
        <v>321</v>
      </c>
      <c r="G216" s="32" t="s">
        <v>323</v>
      </c>
      <c r="H216" s="38">
        <v>1971</v>
      </c>
      <c r="I216" s="32" t="s">
        <v>412</v>
      </c>
      <c r="J216" s="32" t="s">
        <v>325</v>
      </c>
      <c r="K216" s="32" t="s">
        <v>421</v>
      </c>
      <c r="L216" s="32" t="s">
        <v>422</v>
      </c>
      <c r="M216" s="50">
        <f t="shared" si="8"/>
        <v>47</v>
      </c>
      <c r="N216" s="50">
        <f t="shared" si="9"/>
        <v>49</v>
      </c>
    </row>
    <row r="217" spans="1:14" hidden="1">
      <c r="A217" s="36" t="s">
        <v>10</v>
      </c>
      <c r="B217" s="39">
        <v>2020</v>
      </c>
      <c r="C217" s="32" t="s">
        <v>411</v>
      </c>
      <c r="D217" s="32">
        <v>2018</v>
      </c>
      <c r="E217" s="32">
        <v>2021</v>
      </c>
      <c r="F217" s="32" t="s">
        <v>320</v>
      </c>
      <c r="G217" s="32" t="s">
        <v>323</v>
      </c>
      <c r="H217" s="38">
        <v>1962</v>
      </c>
      <c r="I217" s="32" t="s">
        <v>412</v>
      </c>
      <c r="J217" s="32" t="s">
        <v>340</v>
      </c>
      <c r="K217" s="32" t="s">
        <v>413</v>
      </c>
      <c r="L217" s="32" t="s">
        <v>414</v>
      </c>
      <c r="M217" s="50">
        <f t="shared" si="8"/>
        <v>56</v>
      </c>
      <c r="N217" s="50">
        <f t="shared" si="9"/>
        <v>58</v>
      </c>
    </row>
    <row r="218" spans="1:14" hidden="1">
      <c r="A218" s="36" t="s">
        <v>10</v>
      </c>
      <c r="B218" s="39">
        <v>2021</v>
      </c>
      <c r="C218" s="32" t="s">
        <v>413</v>
      </c>
      <c r="D218" s="32">
        <v>2018</v>
      </c>
      <c r="E218" s="32">
        <v>2021</v>
      </c>
      <c r="F218" s="32" t="s">
        <v>321</v>
      </c>
      <c r="G218" s="32" t="s">
        <v>323</v>
      </c>
      <c r="H218" s="38">
        <v>1971</v>
      </c>
      <c r="I218" s="32" t="s">
        <v>412</v>
      </c>
      <c r="J218" s="32" t="s">
        <v>325</v>
      </c>
      <c r="K218" s="32" t="s">
        <v>421</v>
      </c>
      <c r="L218" s="32" t="s">
        <v>422</v>
      </c>
      <c r="M218" s="50">
        <f t="shared" si="8"/>
        <v>47</v>
      </c>
      <c r="N218" s="50">
        <f t="shared" si="9"/>
        <v>50</v>
      </c>
    </row>
    <row r="219" spans="1:14" hidden="1">
      <c r="A219" s="36" t="s">
        <v>10</v>
      </c>
      <c r="B219" s="39">
        <v>2021</v>
      </c>
      <c r="C219" s="32" t="s">
        <v>411</v>
      </c>
      <c r="D219" s="32">
        <v>2018</v>
      </c>
      <c r="E219" s="32">
        <v>2021</v>
      </c>
      <c r="F219" s="32" t="s">
        <v>320</v>
      </c>
      <c r="G219" s="32" t="s">
        <v>323</v>
      </c>
      <c r="H219" s="38">
        <v>1962</v>
      </c>
      <c r="I219" s="32" t="s">
        <v>412</v>
      </c>
      <c r="J219" s="32" t="s">
        <v>340</v>
      </c>
      <c r="K219" s="32" t="s">
        <v>413</v>
      </c>
      <c r="L219" s="32" t="s">
        <v>414</v>
      </c>
      <c r="M219" s="50">
        <f t="shared" si="8"/>
        <v>56</v>
      </c>
      <c r="N219" s="50">
        <f t="shared" si="9"/>
        <v>59</v>
      </c>
    </row>
    <row r="220" spans="1:14" hidden="1">
      <c r="A220" s="36" t="s">
        <v>10</v>
      </c>
      <c r="B220" s="39">
        <v>2022</v>
      </c>
      <c r="C220" s="35"/>
      <c r="D220" s="35"/>
      <c r="E220" s="35"/>
      <c r="F220" s="35" t="s">
        <v>321</v>
      </c>
      <c r="G220" s="35"/>
      <c r="H220" s="39"/>
      <c r="I220" s="35"/>
      <c r="J220" s="35"/>
      <c r="K220" s="35"/>
      <c r="L220" s="35"/>
      <c r="M220" s="50"/>
      <c r="N220" s="50"/>
    </row>
    <row r="221" spans="1:14" hidden="1">
      <c r="A221" s="36" t="s">
        <v>10</v>
      </c>
      <c r="B221" s="39">
        <v>2022</v>
      </c>
      <c r="C221" s="35" t="s">
        <v>443</v>
      </c>
      <c r="D221" s="48">
        <v>2022</v>
      </c>
      <c r="E221" s="48">
        <v>2024</v>
      </c>
      <c r="F221" s="48" t="s">
        <v>320</v>
      </c>
      <c r="G221" s="48" t="s">
        <v>335</v>
      </c>
      <c r="H221" s="47">
        <v>1967</v>
      </c>
      <c r="I221" s="48" t="s">
        <v>329</v>
      </c>
      <c r="J221" s="35"/>
      <c r="K221" s="35"/>
      <c r="L221" s="35"/>
      <c r="M221" s="50">
        <f t="shared" si="8"/>
        <v>55</v>
      </c>
      <c r="N221" s="50">
        <f t="shared" si="9"/>
        <v>55</v>
      </c>
    </row>
    <row r="222" spans="1:14" hidden="1">
      <c r="A222" s="35" t="s">
        <v>11</v>
      </c>
      <c r="B222" s="39">
        <v>2012</v>
      </c>
      <c r="C222" s="32" t="s">
        <v>418</v>
      </c>
      <c r="D222" s="32">
        <v>2012</v>
      </c>
      <c r="E222" s="32">
        <v>2016</v>
      </c>
      <c r="F222" s="32" t="s">
        <v>321</v>
      </c>
      <c r="G222" s="32" t="s">
        <v>323</v>
      </c>
      <c r="H222" s="38">
        <v>1961</v>
      </c>
      <c r="I222" s="32" t="s">
        <v>350</v>
      </c>
      <c r="J222" s="32" t="s">
        <v>325</v>
      </c>
      <c r="K222" s="32" t="s">
        <v>399</v>
      </c>
      <c r="L222" s="32" t="s">
        <v>389</v>
      </c>
      <c r="M222" s="50">
        <f t="shared" si="8"/>
        <v>51</v>
      </c>
      <c r="N222" s="50">
        <f t="shared" si="9"/>
        <v>51</v>
      </c>
    </row>
    <row r="223" spans="1:14" hidden="1">
      <c r="A223" s="35" t="s">
        <v>11</v>
      </c>
      <c r="B223" s="39">
        <v>2012</v>
      </c>
      <c r="C223" s="32" t="s">
        <v>415</v>
      </c>
      <c r="D223" s="32">
        <v>2009</v>
      </c>
      <c r="E223" s="32">
        <v>2014</v>
      </c>
      <c r="F223" s="32" t="s">
        <v>320</v>
      </c>
      <c r="G223" s="32" t="s">
        <v>323</v>
      </c>
      <c r="H223" s="38">
        <v>1954</v>
      </c>
      <c r="I223" s="32" t="s">
        <v>324</v>
      </c>
      <c r="J223" s="32" t="s">
        <v>325</v>
      </c>
      <c r="K223" s="32" t="s">
        <v>416</v>
      </c>
      <c r="L223" s="32" t="s">
        <v>417</v>
      </c>
      <c r="M223" s="50">
        <f t="shared" si="8"/>
        <v>55</v>
      </c>
      <c r="N223" s="50">
        <f t="shared" si="9"/>
        <v>58</v>
      </c>
    </row>
    <row r="224" spans="1:14" hidden="1">
      <c r="A224" s="35" t="s">
        <v>11</v>
      </c>
      <c r="B224" s="39">
        <v>2013</v>
      </c>
      <c r="C224" s="32" t="s">
        <v>418</v>
      </c>
      <c r="D224" s="32">
        <v>2012</v>
      </c>
      <c r="E224" s="32">
        <v>2016</v>
      </c>
      <c r="F224" s="32" t="s">
        <v>321</v>
      </c>
      <c r="G224" s="32" t="s">
        <v>323</v>
      </c>
      <c r="H224" s="38">
        <v>1961</v>
      </c>
      <c r="I224" s="32" t="s">
        <v>350</v>
      </c>
      <c r="J224" s="32" t="s">
        <v>325</v>
      </c>
      <c r="K224" s="32" t="s">
        <v>399</v>
      </c>
      <c r="L224" s="32" t="s">
        <v>389</v>
      </c>
      <c r="M224" s="50">
        <f t="shared" si="8"/>
        <v>51</v>
      </c>
      <c r="N224" s="50">
        <f t="shared" si="9"/>
        <v>52</v>
      </c>
    </row>
    <row r="225" spans="1:14" hidden="1">
      <c r="A225" s="35" t="s">
        <v>11</v>
      </c>
      <c r="B225" s="39">
        <v>2013</v>
      </c>
      <c r="C225" s="32" t="s">
        <v>415</v>
      </c>
      <c r="D225" s="32">
        <v>2009</v>
      </c>
      <c r="E225" s="32">
        <v>2014</v>
      </c>
      <c r="F225" s="32" t="s">
        <v>320</v>
      </c>
      <c r="G225" s="32" t="s">
        <v>323</v>
      </c>
      <c r="H225" s="38">
        <v>1954</v>
      </c>
      <c r="I225" s="32" t="s">
        <v>324</v>
      </c>
      <c r="J225" s="32" t="s">
        <v>325</v>
      </c>
      <c r="K225" s="32" t="s">
        <v>416</v>
      </c>
      <c r="L225" s="32" t="s">
        <v>417</v>
      </c>
      <c r="M225" s="50">
        <f t="shared" si="8"/>
        <v>55</v>
      </c>
      <c r="N225" s="50">
        <f t="shared" si="9"/>
        <v>59</v>
      </c>
    </row>
    <row r="226" spans="1:14" hidden="1">
      <c r="A226" s="35" t="s">
        <v>11</v>
      </c>
      <c r="B226" s="39">
        <v>2014</v>
      </c>
      <c r="C226" s="32" t="s">
        <v>418</v>
      </c>
      <c r="D226" s="32">
        <v>2012</v>
      </c>
      <c r="E226" s="32">
        <v>2016</v>
      </c>
      <c r="F226" s="32" t="s">
        <v>321</v>
      </c>
      <c r="G226" s="32" t="s">
        <v>323</v>
      </c>
      <c r="H226" s="38">
        <v>1961</v>
      </c>
      <c r="I226" s="32" t="s">
        <v>350</v>
      </c>
      <c r="J226" s="32" t="s">
        <v>325</v>
      </c>
      <c r="K226" s="32" t="s">
        <v>399</v>
      </c>
      <c r="L226" s="32" t="s">
        <v>389</v>
      </c>
      <c r="M226" s="50">
        <f t="shared" si="8"/>
        <v>51</v>
      </c>
      <c r="N226" s="50">
        <f t="shared" si="9"/>
        <v>53</v>
      </c>
    </row>
    <row r="227" spans="1:14" hidden="1">
      <c r="A227" s="35" t="s">
        <v>11</v>
      </c>
      <c r="B227" s="39">
        <v>2014</v>
      </c>
      <c r="C227" s="32" t="s">
        <v>415</v>
      </c>
      <c r="D227" s="32">
        <v>2009</v>
      </c>
      <c r="E227" s="32">
        <v>2014</v>
      </c>
      <c r="F227" s="32" t="s">
        <v>320</v>
      </c>
      <c r="G227" s="32" t="s">
        <v>323</v>
      </c>
      <c r="H227" s="38">
        <v>1954</v>
      </c>
      <c r="I227" s="32" t="s">
        <v>324</v>
      </c>
      <c r="J227" s="32" t="s">
        <v>325</v>
      </c>
      <c r="K227" s="32" t="s">
        <v>416</v>
      </c>
      <c r="L227" s="32" t="s">
        <v>417</v>
      </c>
      <c r="M227" s="50">
        <f t="shared" si="8"/>
        <v>55</v>
      </c>
      <c r="N227" s="50">
        <f t="shared" si="9"/>
        <v>60</v>
      </c>
    </row>
    <row r="228" spans="1:14" hidden="1">
      <c r="A228" s="36" t="s">
        <v>11</v>
      </c>
      <c r="B228" s="39">
        <v>2015</v>
      </c>
      <c r="C228" s="32" t="s">
        <v>418</v>
      </c>
      <c r="D228" s="32">
        <v>2012</v>
      </c>
      <c r="E228" s="32">
        <v>2016</v>
      </c>
      <c r="F228" s="32" t="s">
        <v>321</v>
      </c>
      <c r="G228" s="32" t="s">
        <v>323</v>
      </c>
      <c r="H228" s="38">
        <v>1961</v>
      </c>
      <c r="I228" s="32" t="s">
        <v>350</v>
      </c>
      <c r="J228" s="32" t="s">
        <v>325</v>
      </c>
      <c r="K228" s="32" t="s">
        <v>399</v>
      </c>
      <c r="L228" s="32" t="s">
        <v>389</v>
      </c>
      <c r="M228" s="50">
        <f t="shared" si="8"/>
        <v>51</v>
      </c>
      <c r="N228" s="50">
        <f t="shared" si="9"/>
        <v>54</v>
      </c>
    </row>
    <row r="229" spans="1:14" hidden="1">
      <c r="A229" s="36" t="s">
        <v>11</v>
      </c>
      <c r="B229" s="39">
        <v>2015</v>
      </c>
      <c r="C229" s="32" t="s">
        <v>416</v>
      </c>
      <c r="D229" s="32">
        <v>2014</v>
      </c>
      <c r="E229" s="32">
        <v>2015</v>
      </c>
      <c r="F229" s="32" t="s">
        <v>320</v>
      </c>
      <c r="G229" s="32" t="s">
        <v>323</v>
      </c>
      <c r="H229" s="38">
        <v>1956</v>
      </c>
      <c r="I229" s="32" t="s">
        <v>417</v>
      </c>
      <c r="J229" s="32" t="s">
        <v>325</v>
      </c>
      <c r="K229" s="32" t="s">
        <v>418</v>
      </c>
      <c r="L229" s="32" t="s">
        <v>350</v>
      </c>
      <c r="M229" s="50">
        <f t="shared" si="8"/>
        <v>58</v>
      </c>
      <c r="N229" s="50">
        <f t="shared" si="9"/>
        <v>59</v>
      </c>
    </row>
    <row r="230" spans="1:14" hidden="1">
      <c r="A230" s="36" t="s">
        <v>11</v>
      </c>
      <c r="B230" s="39">
        <v>2016</v>
      </c>
      <c r="C230" s="32" t="s">
        <v>399</v>
      </c>
      <c r="D230" s="32">
        <v>2016</v>
      </c>
      <c r="E230" s="32">
        <v>2017</v>
      </c>
      <c r="F230" s="32" t="s">
        <v>321</v>
      </c>
      <c r="G230" s="32" t="s">
        <v>323</v>
      </c>
      <c r="H230" s="38">
        <v>1962</v>
      </c>
      <c r="I230" s="32" t="s">
        <v>389</v>
      </c>
      <c r="J230" s="32" t="s">
        <v>325</v>
      </c>
      <c r="K230" s="32" t="s">
        <v>423</v>
      </c>
      <c r="L230" s="32" t="s">
        <v>358</v>
      </c>
      <c r="M230" s="50">
        <f t="shared" si="8"/>
        <v>54</v>
      </c>
      <c r="N230" s="50">
        <f t="shared" si="9"/>
        <v>54</v>
      </c>
    </row>
    <row r="231" spans="1:14" hidden="1">
      <c r="A231" s="36" t="s">
        <v>11</v>
      </c>
      <c r="B231" s="39">
        <v>2016</v>
      </c>
      <c r="C231" s="32" t="s">
        <v>418</v>
      </c>
      <c r="D231" s="32">
        <v>2016</v>
      </c>
      <c r="E231" s="32">
        <v>2019</v>
      </c>
      <c r="F231" s="32" t="s">
        <v>320</v>
      </c>
      <c r="G231" s="32" t="s">
        <v>323</v>
      </c>
      <c r="H231" s="38">
        <v>1961</v>
      </c>
      <c r="I231" s="32" t="s">
        <v>350</v>
      </c>
      <c r="J231" s="32" t="s">
        <v>325</v>
      </c>
      <c r="K231" s="32" t="s">
        <v>333</v>
      </c>
      <c r="L231" s="32" t="s">
        <v>334</v>
      </c>
      <c r="M231" s="50">
        <f t="shared" si="8"/>
        <v>55</v>
      </c>
      <c r="N231" s="50">
        <f t="shared" si="9"/>
        <v>55</v>
      </c>
    </row>
    <row r="232" spans="1:14" hidden="1">
      <c r="A232" s="36" t="s">
        <v>11</v>
      </c>
      <c r="B232" s="39">
        <v>2017</v>
      </c>
      <c r="C232" s="32" t="s">
        <v>423</v>
      </c>
      <c r="D232" s="32">
        <v>2017</v>
      </c>
      <c r="E232" s="32">
        <v>2021</v>
      </c>
      <c r="F232" s="32" t="s">
        <v>321</v>
      </c>
      <c r="G232" s="32" t="s">
        <v>323</v>
      </c>
      <c r="H232" s="38">
        <v>1963</v>
      </c>
      <c r="I232" s="32" t="s">
        <v>358</v>
      </c>
      <c r="J232" s="32" t="s">
        <v>325</v>
      </c>
      <c r="K232" s="32" t="s">
        <v>424</v>
      </c>
      <c r="L232" s="32" t="s">
        <v>425</v>
      </c>
      <c r="M232" s="50">
        <f t="shared" si="8"/>
        <v>54</v>
      </c>
      <c r="N232" s="50">
        <f t="shared" si="9"/>
        <v>54</v>
      </c>
    </row>
    <row r="233" spans="1:14" hidden="1">
      <c r="A233" s="36" t="s">
        <v>11</v>
      </c>
      <c r="B233" s="39">
        <v>2017</v>
      </c>
      <c r="C233" s="32" t="s">
        <v>418</v>
      </c>
      <c r="D233" s="32">
        <v>2016</v>
      </c>
      <c r="E233" s="32">
        <v>2019</v>
      </c>
      <c r="F233" s="32" t="s">
        <v>320</v>
      </c>
      <c r="G233" s="32" t="s">
        <v>323</v>
      </c>
      <c r="H233" s="38">
        <v>1961</v>
      </c>
      <c r="I233" s="32" t="s">
        <v>350</v>
      </c>
      <c r="J233" s="32" t="s">
        <v>325</v>
      </c>
      <c r="K233" s="32" t="s">
        <v>333</v>
      </c>
      <c r="L233" s="32" t="s">
        <v>334</v>
      </c>
      <c r="M233" s="50">
        <f t="shared" si="8"/>
        <v>55</v>
      </c>
      <c r="N233" s="50">
        <f t="shared" si="9"/>
        <v>56</v>
      </c>
    </row>
    <row r="234" spans="1:14" hidden="1">
      <c r="A234" s="36" t="s">
        <v>11</v>
      </c>
      <c r="B234" s="39">
        <v>2018</v>
      </c>
      <c r="C234" s="32" t="s">
        <v>423</v>
      </c>
      <c r="D234" s="32">
        <v>2017</v>
      </c>
      <c r="E234" s="32">
        <v>2021</v>
      </c>
      <c r="F234" s="32" t="s">
        <v>321</v>
      </c>
      <c r="G234" s="32" t="s">
        <v>323</v>
      </c>
      <c r="H234" s="38">
        <v>1963</v>
      </c>
      <c r="I234" s="32" t="s">
        <v>358</v>
      </c>
      <c r="J234" s="32" t="s">
        <v>325</v>
      </c>
      <c r="K234" s="32" t="s">
        <v>424</v>
      </c>
      <c r="L234" s="32" t="s">
        <v>425</v>
      </c>
      <c r="M234" s="50">
        <f t="shared" si="8"/>
        <v>54</v>
      </c>
      <c r="N234" s="50">
        <f t="shared" si="9"/>
        <v>55</v>
      </c>
    </row>
    <row r="235" spans="1:14" hidden="1">
      <c r="A235" s="36" t="s">
        <v>11</v>
      </c>
      <c r="B235" s="39">
        <v>2018</v>
      </c>
      <c r="C235" s="32" t="s">
        <v>418</v>
      </c>
      <c r="D235" s="32">
        <v>2016</v>
      </c>
      <c r="E235" s="32">
        <v>2019</v>
      </c>
      <c r="F235" s="32" t="s">
        <v>320</v>
      </c>
      <c r="G235" s="32" t="s">
        <v>323</v>
      </c>
      <c r="H235" s="38">
        <v>1961</v>
      </c>
      <c r="I235" s="32" t="s">
        <v>350</v>
      </c>
      <c r="J235" s="32" t="s">
        <v>325</v>
      </c>
      <c r="K235" s="32" t="s">
        <v>333</v>
      </c>
      <c r="L235" s="32" t="s">
        <v>334</v>
      </c>
      <c r="M235" s="50">
        <f t="shared" si="8"/>
        <v>55</v>
      </c>
      <c r="N235" s="50">
        <f t="shared" si="9"/>
        <v>57</v>
      </c>
    </row>
    <row r="236" spans="1:14" hidden="1">
      <c r="A236" s="36" t="s">
        <v>11</v>
      </c>
      <c r="B236" s="39">
        <v>2019</v>
      </c>
      <c r="C236" s="32" t="s">
        <v>423</v>
      </c>
      <c r="D236" s="32">
        <v>2017</v>
      </c>
      <c r="E236" s="32">
        <v>2021</v>
      </c>
      <c r="F236" s="32" t="s">
        <v>321</v>
      </c>
      <c r="G236" s="32" t="s">
        <v>323</v>
      </c>
      <c r="H236" s="38">
        <v>1963</v>
      </c>
      <c r="I236" s="32" t="s">
        <v>358</v>
      </c>
      <c r="J236" s="32" t="s">
        <v>325</v>
      </c>
      <c r="K236" s="32" t="s">
        <v>424</v>
      </c>
      <c r="L236" s="32" t="s">
        <v>425</v>
      </c>
      <c r="M236" s="50">
        <f t="shared" si="8"/>
        <v>54</v>
      </c>
      <c r="N236" s="50">
        <f t="shared" si="9"/>
        <v>56</v>
      </c>
    </row>
    <row r="237" spans="1:14" hidden="1">
      <c r="A237" s="36" t="s">
        <v>11</v>
      </c>
      <c r="B237" s="39">
        <v>2019</v>
      </c>
      <c r="C237" s="32" t="s">
        <v>418</v>
      </c>
      <c r="D237" s="32">
        <v>2016</v>
      </c>
      <c r="E237" s="32">
        <v>2019</v>
      </c>
      <c r="F237" s="32" t="s">
        <v>320</v>
      </c>
      <c r="G237" s="32" t="s">
        <v>323</v>
      </c>
      <c r="H237" s="38">
        <v>1961</v>
      </c>
      <c r="I237" s="32" t="s">
        <v>350</v>
      </c>
      <c r="J237" s="32" t="s">
        <v>325</v>
      </c>
      <c r="K237" s="32" t="s">
        <v>333</v>
      </c>
      <c r="L237" s="32" t="s">
        <v>334</v>
      </c>
      <c r="M237" s="50">
        <f t="shared" ref="M237" si="10">D237-H237</f>
        <v>55</v>
      </c>
      <c r="N237" s="50">
        <f t="shared" ref="N237" si="11">B237-H237</f>
        <v>58</v>
      </c>
    </row>
    <row r="238" spans="1:14" hidden="1">
      <c r="A238" s="36" t="s">
        <v>11</v>
      </c>
      <c r="B238" s="39">
        <v>2020</v>
      </c>
      <c r="C238" s="32" t="s">
        <v>423</v>
      </c>
      <c r="D238" s="32">
        <v>2017</v>
      </c>
      <c r="E238" s="32">
        <v>2021</v>
      </c>
      <c r="F238" s="32" t="s">
        <v>321</v>
      </c>
      <c r="G238" s="32" t="s">
        <v>323</v>
      </c>
      <c r="H238" s="38">
        <v>1963</v>
      </c>
      <c r="I238" s="32" t="s">
        <v>358</v>
      </c>
      <c r="J238" s="32" t="s">
        <v>325</v>
      </c>
      <c r="K238" s="32" t="s">
        <v>424</v>
      </c>
      <c r="L238" s="32" t="s">
        <v>425</v>
      </c>
      <c r="M238" s="50">
        <f t="shared" si="8"/>
        <v>54</v>
      </c>
      <c r="N238" s="50">
        <f t="shared" si="9"/>
        <v>57</v>
      </c>
    </row>
    <row r="239" spans="1:14" hidden="1">
      <c r="A239" s="36" t="s">
        <v>11</v>
      </c>
      <c r="B239" s="39">
        <v>2020</v>
      </c>
      <c r="C239" s="32" t="s">
        <v>333</v>
      </c>
      <c r="D239" s="32">
        <v>2019</v>
      </c>
      <c r="E239" s="32">
        <v>2020</v>
      </c>
      <c r="F239" s="32" t="s">
        <v>320</v>
      </c>
      <c r="G239" s="32" t="s">
        <v>323</v>
      </c>
      <c r="H239" s="38">
        <v>1964</v>
      </c>
      <c r="I239" s="32" t="s">
        <v>334</v>
      </c>
      <c r="J239" s="32" t="s">
        <v>325</v>
      </c>
      <c r="K239" s="32" t="s">
        <v>419</v>
      </c>
      <c r="L239" s="32" t="s">
        <v>420</v>
      </c>
      <c r="M239" s="50">
        <f t="shared" si="8"/>
        <v>55</v>
      </c>
      <c r="N239" s="50">
        <f t="shared" si="9"/>
        <v>56</v>
      </c>
    </row>
    <row r="240" spans="1:14" hidden="1">
      <c r="A240" s="36" t="s">
        <v>11</v>
      </c>
      <c r="B240" s="39">
        <v>2021</v>
      </c>
      <c r="C240" s="32" t="s">
        <v>423</v>
      </c>
      <c r="D240" s="32">
        <v>2017</v>
      </c>
      <c r="E240" s="32">
        <v>2021</v>
      </c>
      <c r="F240" s="32" t="s">
        <v>321</v>
      </c>
      <c r="G240" s="32" t="s">
        <v>323</v>
      </c>
      <c r="H240" s="38">
        <v>1963</v>
      </c>
      <c r="I240" s="32" t="s">
        <v>358</v>
      </c>
      <c r="J240" s="32" t="s">
        <v>325</v>
      </c>
      <c r="K240" s="32" t="s">
        <v>424</v>
      </c>
      <c r="L240" s="32" t="s">
        <v>425</v>
      </c>
      <c r="M240" s="50">
        <f t="shared" si="8"/>
        <v>54</v>
      </c>
      <c r="N240" s="50">
        <f t="shared" si="9"/>
        <v>58</v>
      </c>
    </row>
    <row r="241" spans="1:14" hidden="1">
      <c r="A241" s="36" t="s">
        <v>11</v>
      </c>
      <c r="B241" s="39">
        <v>2021</v>
      </c>
      <c r="C241" s="34" t="s">
        <v>419</v>
      </c>
      <c r="D241" s="34">
        <v>2020</v>
      </c>
      <c r="E241" s="34">
        <v>2021</v>
      </c>
      <c r="F241" s="34" t="s">
        <v>320</v>
      </c>
      <c r="G241" s="34" t="s">
        <v>323</v>
      </c>
      <c r="H241" s="40">
        <v>1965</v>
      </c>
      <c r="I241" s="34" t="s">
        <v>420</v>
      </c>
      <c r="J241" s="34" t="s">
        <v>340</v>
      </c>
      <c r="K241" s="34" t="s">
        <v>413</v>
      </c>
      <c r="L241" s="34" t="s">
        <v>414</v>
      </c>
      <c r="M241" s="50">
        <f t="shared" si="8"/>
        <v>55</v>
      </c>
      <c r="N241" s="50">
        <f t="shared" si="9"/>
        <v>56</v>
      </c>
    </row>
    <row r="242" spans="1:14" hidden="1">
      <c r="A242" s="36" t="s">
        <v>11</v>
      </c>
      <c r="B242" s="39">
        <v>2022</v>
      </c>
      <c r="C242" s="35"/>
      <c r="D242" s="35"/>
      <c r="E242" s="35"/>
      <c r="F242" s="35" t="s">
        <v>321</v>
      </c>
      <c r="G242" s="35"/>
      <c r="H242" s="39"/>
      <c r="I242" s="35"/>
      <c r="J242" s="35"/>
      <c r="K242" s="35"/>
      <c r="L242" s="35"/>
      <c r="M242" s="50"/>
      <c r="N242" s="50"/>
    </row>
    <row r="243" spans="1:14" hidden="1">
      <c r="A243" s="36" t="s">
        <v>11</v>
      </c>
      <c r="B243" s="39">
        <v>2022</v>
      </c>
      <c r="C243" s="35" t="s">
        <v>413</v>
      </c>
      <c r="D243" s="48">
        <v>2021</v>
      </c>
      <c r="E243" s="48">
        <v>2023</v>
      </c>
      <c r="F243" s="48" t="s">
        <v>320</v>
      </c>
      <c r="G243" s="48" t="s">
        <v>323</v>
      </c>
      <c r="H243" s="47">
        <v>1971</v>
      </c>
      <c r="I243" s="48" t="s">
        <v>412</v>
      </c>
      <c r="J243" s="48" t="s">
        <v>325</v>
      </c>
      <c r="K243" s="35"/>
      <c r="L243" s="35"/>
      <c r="M243" s="50">
        <f t="shared" si="8"/>
        <v>50</v>
      </c>
      <c r="N243" s="50">
        <f t="shared" si="9"/>
        <v>51</v>
      </c>
    </row>
    <row r="244" spans="1:14" hidden="1">
      <c r="A244" s="35" t="s">
        <v>12</v>
      </c>
      <c r="B244" s="39">
        <v>2012</v>
      </c>
      <c r="C244" s="32" t="s">
        <v>430</v>
      </c>
      <c r="D244" s="32">
        <v>2011</v>
      </c>
      <c r="E244" s="32">
        <v>2013</v>
      </c>
      <c r="F244" s="32" t="s">
        <v>321</v>
      </c>
      <c r="G244" s="32" t="s">
        <v>323</v>
      </c>
      <c r="H244" s="38">
        <v>1965</v>
      </c>
      <c r="I244" s="32" t="s">
        <v>431</v>
      </c>
      <c r="J244" s="32" t="s">
        <v>325</v>
      </c>
      <c r="K244" s="32" t="s">
        <v>432</v>
      </c>
      <c r="L244" s="32" t="s">
        <v>433</v>
      </c>
      <c r="M244" s="50">
        <f t="shared" si="8"/>
        <v>46</v>
      </c>
      <c r="N244" s="50">
        <f t="shared" si="9"/>
        <v>47</v>
      </c>
    </row>
    <row r="245" spans="1:14" hidden="1">
      <c r="A245" s="35" t="s">
        <v>12</v>
      </c>
      <c r="B245" s="39">
        <v>2012</v>
      </c>
      <c r="C245" s="32" t="s">
        <v>440</v>
      </c>
      <c r="D245" s="32">
        <v>2011</v>
      </c>
      <c r="E245" s="32">
        <v>2014</v>
      </c>
      <c r="F245" s="32" t="s">
        <v>320</v>
      </c>
      <c r="G245" s="32" t="s">
        <v>323</v>
      </c>
      <c r="H245" s="38">
        <v>1955</v>
      </c>
      <c r="I245" s="32" t="s">
        <v>331</v>
      </c>
      <c r="J245" s="32" t="s">
        <v>325</v>
      </c>
      <c r="K245" s="32" t="s">
        <v>430</v>
      </c>
      <c r="L245" s="32" t="s">
        <v>431</v>
      </c>
      <c r="M245" s="50">
        <f t="shared" si="8"/>
        <v>56</v>
      </c>
      <c r="N245" s="50">
        <f t="shared" si="9"/>
        <v>57</v>
      </c>
    </row>
    <row r="246" spans="1:14" hidden="1">
      <c r="A246" s="35" t="s">
        <v>12</v>
      </c>
      <c r="B246" s="39">
        <v>2013</v>
      </c>
      <c r="C246" s="32" t="s">
        <v>432</v>
      </c>
      <c r="D246" s="32">
        <v>2013</v>
      </c>
      <c r="E246" s="32">
        <v>2015</v>
      </c>
      <c r="F246" s="32" t="s">
        <v>321</v>
      </c>
      <c r="G246" s="32" t="s">
        <v>323</v>
      </c>
      <c r="H246" s="38">
        <v>1966</v>
      </c>
      <c r="I246" s="32" t="s">
        <v>433</v>
      </c>
      <c r="J246" s="32" t="s">
        <v>325</v>
      </c>
      <c r="K246" s="32" t="s">
        <v>434</v>
      </c>
      <c r="L246" s="32" t="s">
        <v>350</v>
      </c>
      <c r="M246" s="50">
        <f t="shared" si="8"/>
        <v>47</v>
      </c>
      <c r="N246" s="50">
        <f t="shared" si="9"/>
        <v>47</v>
      </c>
    </row>
    <row r="247" spans="1:14" hidden="1">
      <c r="A247" s="35" t="s">
        <v>12</v>
      </c>
      <c r="B247" s="39">
        <v>2013</v>
      </c>
      <c r="C247" s="32" t="s">
        <v>440</v>
      </c>
      <c r="D247" s="32">
        <v>2011</v>
      </c>
      <c r="E247" s="32">
        <v>2014</v>
      </c>
      <c r="F247" s="32" t="s">
        <v>320</v>
      </c>
      <c r="G247" s="32" t="s">
        <v>323</v>
      </c>
      <c r="H247" s="38">
        <v>1955</v>
      </c>
      <c r="I247" s="32" t="s">
        <v>331</v>
      </c>
      <c r="J247" s="32" t="s">
        <v>325</v>
      </c>
      <c r="K247" s="32" t="s">
        <v>430</v>
      </c>
      <c r="L247" s="32" t="s">
        <v>431</v>
      </c>
      <c r="M247" s="50">
        <f t="shared" si="8"/>
        <v>56</v>
      </c>
      <c r="N247" s="50">
        <f t="shared" si="9"/>
        <v>58</v>
      </c>
    </row>
    <row r="248" spans="1:14" hidden="1">
      <c r="A248" s="35" t="s">
        <v>12</v>
      </c>
      <c r="B248" s="39">
        <v>2014</v>
      </c>
      <c r="C248" s="32" t="s">
        <v>432</v>
      </c>
      <c r="D248" s="32">
        <v>2013</v>
      </c>
      <c r="E248" s="32">
        <v>2015</v>
      </c>
      <c r="F248" s="32" t="s">
        <v>321</v>
      </c>
      <c r="G248" s="32" t="s">
        <v>323</v>
      </c>
      <c r="H248" s="38">
        <v>1966</v>
      </c>
      <c r="I248" s="32" t="s">
        <v>433</v>
      </c>
      <c r="J248" s="32" t="s">
        <v>325</v>
      </c>
      <c r="K248" s="32" t="s">
        <v>434</v>
      </c>
      <c r="L248" s="32" t="s">
        <v>350</v>
      </c>
      <c r="M248" s="50">
        <f t="shared" si="8"/>
        <v>47</v>
      </c>
      <c r="N248" s="50">
        <f t="shared" si="9"/>
        <v>48</v>
      </c>
    </row>
    <row r="249" spans="1:14" hidden="1">
      <c r="A249" s="35" t="s">
        <v>12</v>
      </c>
      <c r="B249" s="39">
        <v>2014</v>
      </c>
      <c r="C249" s="32" t="s">
        <v>440</v>
      </c>
      <c r="D249" s="32">
        <v>2011</v>
      </c>
      <c r="E249" s="32">
        <v>2014</v>
      </c>
      <c r="F249" s="32" t="s">
        <v>320</v>
      </c>
      <c r="G249" s="32" t="s">
        <v>323</v>
      </c>
      <c r="H249" s="38">
        <v>1955</v>
      </c>
      <c r="I249" s="32" t="s">
        <v>331</v>
      </c>
      <c r="J249" s="32" t="s">
        <v>325</v>
      </c>
      <c r="K249" s="32" t="s">
        <v>430</v>
      </c>
      <c r="L249" s="32" t="s">
        <v>431</v>
      </c>
      <c r="M249" s="50">
        <f t="shared" si="8"/>
        <v>56</v>
      </c>
      <c r="N249" s="50">
        <f t="shared" si="9"/>
        <v>59</v>
      </c>
    </row>
    <row r="250" spans="1:14" hidden="1">
      <c r="A250" s="36" t="s">
        <v>12</v>
      </c>
      <c r="B250" s="39">
        <v>2015</v>
      </c>
      <c r="C250" s="32" t="s">
        <v>432</v>
      </c>
      <c r="D250" s="32">
        <v>2013</v>
      </c>
      <c r="E250" s="32">
        <v>2015</v>
      </c>
      <c r="F250" s="32" t="s">
        <v>321</v>
      </c>
      <c r="G250" s="32" t="s">
        <v>323</v>
      </c>
      <c r="H250" s="38">
        <v>1966</v>
      </c>
      <c r="I250" s="32" t="s">
        <v>433</v>
      </c>
      <c r="J250" s="32" t="s">
        <v>325</v>
      </c>
      <c r="K250" s="32" t="s">
        <v>434</v>
      </c>
      <c r="L250" s="32" t="s">
        <v>350</v>
      </c>
      <c r="M250" s="50">
        <f t="shared" si="8"/>
        <v>47</v>
      </c>
      <c r="N250" s="50">
        <f t="shared" si="9"/>
        <v>49</v>
      </c>
    </row>
    <row r="251" spans="1:14" hidden="1">
      <c r="A251" s="36" t="s">
        <v>12</v>
      </c>
      <c r="B251" s="39">
        <v>2015</v>
      </c>
      <c r="C251" s="32" t="s">
        <v>430</v>
      </c>
      <c r="D251" s="32">
        <v>2014</v>
      </c>
      <c r="E251" s="32">
        <v>2018</v>
      </c>
      <c r="F251" s="32" t="s">
        <v>320</v>
      </c>
      <c r="G251" s="32" t="s">
        <v>323</v>
      </c>
      <c r="H251" s="38">
        <v>1965</v>
      </c>
      <c r="I251" s="32" t="s">
        <v>431</v>
      </c>
      <c r="J251" s="32" t="s">
        <v>325</v>
      </c>
      <c r="K251" s="32" t="s">
        <v>434</v>
      </c>
      <c r="L251" s="32" t="s">
        <v>350</v>
      </c>
      <c r="M251" s="50">
        <f t="shared" si="8"/>
        <v>49</v>
      </c>
      <c r="N251" s="50">
        <f t="shared" si="9"/>
        <v>50</v>
      </c>
    </row>
    <row r="252" spans="1:14" hidden="1">
      <c r="A252" s="36" t="s">
        <v>12</v>
      </c>
      <c r="B252" s="39">
        <v>2016</v>
      </c>
      <c r="C252" s="32" t="s">
        <v>434</v>
      </c>
      <c r="D252" s="32">
        <v>2015</v>
      </c>
      <c r="E252" s="32">
        <v>2018</v>
      </c>
      <c r="F252" s="32" t="s">
        <v>321</v>
      </c>
      <c r="G252" s="32" t="s">
        <v>323</v>
      </c>
      <c r="H252" s="38">
        <v>1963</v>
      </c>
      <c r="I252" s="32" t="s">
        <v>350</v>
      </c>
      <c r="J252" s="32" t="s">
        <v>340</v>
      </c>
      <c r="K252" s="32" t="s">
        <v>435</v>
      </c>
      <c r="L252" s="32" t="s">
        <v>324</v>
      </c>
      <c r="M252" s="50">
        <f t="shared" si="8"/>
        <v>52</v>
      </c>
      <c r="N252" s="50">
        <f t="shared" si="9"/>
        <v>53</v>
      </c>
    </row>
    <row r="253" spans="1:14" hidden="1">
      <c r="A253" s="36" t="s">
        <v>12</v>
      </c>
      <c r="B253" s="39">
        <v>2016</v>
      </c>
      <c r="C253" s="32" t="s">
        <v>430</v>
      </c>
      <c r="D253" s="32">
        <v>2014</v>
      </c>
      <c r="E253" s="32">
        <v>2018</v>
      </c>
      <c r="F253" s="32" t="s">
        <v>320</v>
      </c>
      <c r="G253" s="32" t="s">
        <v>323</v>
      </c>
      <c r="H253" s="38">
        <v>1965</v>
      </c>
      <c r="I253" s="32" t="s">
        <v>431</v>
      </c>
      <c r="J253" s="32" t="s">
        <v>325</v>
      </c>
      <c r="K253" s="32" t="s">
        <v>434</v>
      </c>
      <c r="L253" s="32" t="s">
        <v>350</v>
      </c>
      <c r="M253" s="50">
        <f t="shared" si="8"/>
        <v>49</v>
      </c>
      <c r="N253" s="50">
        <f t="shared" si="9"/>
        <v>51</v>
      </c>
    </row>
    <row r="254" spans="1:14" hidden="1">
      <c r="A254" s="36" t="s">
        <v>12</v>
      </c>
      <c r="B254" s="39">
        <v>2017</v>
      </c>
      <c r="C254" s="32" t="s">
        <v>434</v>
      </c>
      <c r="D254" s="32">
        <v>2015</v>
      </c>
      <c r="E254" s="32">
        <v>2018</v>
      </c>
      <c r="F254" s="32" t="s">
        <v>321</v>
      </c>
      <c r="G254" s="32" t="s">
        <v>323</v>
      </c>
      <c r="H254" s="38">
        <v>1963</v>
      </c>
      <c r="I254" s="32" t="s">
        <v>350</v>
      </c>
      <c r="J254" s="32" t="s">
        <v>340</v>
      </c>
      <c r="K254" s="32" t="s">
        <v>435</v>
      </c>
      <c r="L254" s="32" t="s">
        <v>324</v>
      </c>
      <c r="M254" s="50">
        <f t="shared" si="8"/>
        <v>52</v>
      </c>
      <c r="N254" s="50">
        <f t="shared" si="9"/>
        <v>54</v>
      </c>
    </row>
    <row r="255" spans="1:14" hidden="1">
      <c r="A255" s="36" t="s">
        <v>12</v>
      </c>
      <c r="B255" s="39">
        <v>2017</v>
      </c>
      <c r="C255" s="32" t="s">
        <v>430</v>
      </c>
      <c r="D255" s="32">
        <v>2014</v>
      </c>
      <c r="E255" s="32">
        <v>2018</v>
      </c>
      <c r="F255" s="32" t="s">
        <v>320</v>
      </c>
      <c r="G255" s="32" t="s">
        <v>323</v>
      </c>
      <c r="H255" s="38">
        <v>1965</v>
      </c>
      <c r="I255" s="32" t="s">
        <v>431</v>
      </c>
      <c r="J255" s="32" t="s">
        <v>325</v>
      </c>
      <c r="K255" s="32" t="s">
        <v>434</v>
      </c>
      <c r="L255" s="32" t="s">
        <v>350</v>
      </c>
      <c r="M255" s="50">
        <f t="shared" si="8"/>
        <v>49</v>
      </c>
      <c r="N255" s="50">
        <f t="shared" si="9"/>
        <v>52</v>
      </c>
    </row>
    <row r="256" spans="1:14" hidden="1">
      <c r="A256" s="36" t="s">
        <v>12</v>
      </c>
      <c r="B256" s="39">
        <v>2018</v>
      </c>
      <c r="C256" s="32" t="s">
        <v>435</v>
      </c>
      <c r="D256" s="32">
        <v>2018</v>
      </c>
      <c r="E256" s="32">
        <v>2021</v>
      </c>
      <c r="F256" s="32" t="s">
        <v>321</v>
      </c>
      <c r="G256" s="32" t="s">
        <v>323</v>
      </c>
      <c r="H256" s="38">
        <v>1965</v>
      </c>
      <c r="I256" s="32" t="s">
        <v>324</v>
      </c>
      <c r="J256" s="32" t="s">
        <v>325</v>
      </c>
      <c r="K256" s="32" t="s">
        <v>436</v>
      </c>
      <c r="L256" s="32" t="s">
        <v>437</v>
      </c>
      <c r="M256" s="50">
        <f t="shared" si="8"/>
        <v>53</v>
      </c>
      <c r="N256" s="50">
        <f t="shared" si="9"/>
        <v>53</v>
      </c>
    </row>
    <row r="257" spans="1:14" hidden="1">
      <c r="A257" s="36" t="s">
        <v>12</v>
      </c>
      <c r="B257" s="39">
        <v>2018</v>
      </c>
      <c r="C257" s="32" t="s">
        <v>434</v>
      </c>
      <c r="D257" s="32">
        <v>2018</v>
      </c>
      <c r="E257" s="32">
        <v>2021</v>
      </c>
      <c r="F257" s="32" t="s">
        <v>320</v>
      </c>
      <c r="G257" s="32" t="s">
        <v>323</v>
      </c>
      <c r="H257" s="38">
        <v>1963</v>
      </c>
      <c r="I257" s="32" t="s">
        <v>350</v>
      </c>
      <c r="J257" s="32" t="s">
        <v>340</v>
      </c>
      <c r="K257" s="32" t="s">
        <v>435</v>
      </c>
      <c r="L257" s="32" t="s">
        <v>348</v>
      </c>
      <c r="M257" s="50">
        <f t="shared" si="8"/>
        <v>55</v>
      </c>
      <c r="N257" s="50">
        <f t="shared" si="9"/>
        <v>55</v>
      </c>
    </row>
    <row r="258" spans="1:14" hidden="1">
      <c r="A258" s="36" t="s">
        <v>12</v>
      </c>
      <c r="B258" s="39">
        <v>2019</v>
      </c>
      <c r="C258" s="32" t="s">
        <v>435</v>
      </c>
      <c r="D258" s="32">
        <v>2018</v>
      </c>
      <c r="E258" s="32">
        <v>2021</v>
      </c>
      <c r="F258" s="32" t="s">
        <v>321</v>
      </c>
      <c r="G258" s="32" t="s">
        <v>323</v>
      </c>
      <c r="H258" s="38">
        <v>1965</v>
      </c>
      <c r="I258" s="32" t="s">
        <v>324</v>
      </c>
      <c r="J258" s="32" t="s">
        <v>325</v>
      </c>
      <c r="K258" s="32" t="s">
        <v>436</v>
      </c>
      <c r="L258" s="32" t="s">
        <v>437</v>
      </c>
      <c r="M258" s="50">
        <f t="shared" si="8"/>
        <v>53</v>
      </c>
      <c r="N258" s="50">
        <f t="shared" si="9"/>
        <v>54</v>
      </c>
    </row>
    <row r="259" spans="1:14" hidden="1">
      <c r="A259" s="36" t="s">
        <v>12</v>
      </c>
      <c r="B259" s="39">
        <v>2019</v>
      </c>
      <c r="C259" s="32" t="s">
        <v>434</v>
      </c>
      <c r="D259" s="32">
        <v>2018</v>
      </c>
      <c r="E259" s="32">
        <v>2021</v>
      </c>
      <c r="F259" s="32" t="s">
        <v>320</v>
      </c>
      <c r="G259" s="32" t="s">
        <v>323</v>
      </c>
      <c r="H259" s="38">
        <v>1963</v>
      </c>
      <c r="I259" s="32" t="s">
        <v>350</v>
      </c>
      <c r="J259" s="32" t="s">
        <v>340</v>
      </c>
      <c r="K259" s="32" t="s">
        <v>435</v>
      </c>
      <c r="L259" s="32" t="s">
        <v>348</v>
      </c>
      <c r="M259" s="50">
        <f t="shared" ref="M259:M287" si="12">D259-H259</f>
        <v>55</v>
      </c>
      <c r="N259" s="50">
        <f t="shared" ref="N259:N287" si="13">B259-H259</f>
        <v>56</v>
      </c>
    </row>
    <row r="260" spans="1:14" hidden="1">
      <c r="A260" s="36" t="s">
        <v>12</v>
      </c>
      <c r="B260" s="39">
        <v>2020</v>
      </c>
      <c r="C260" s="32" t="s">
        <v>435</v>
      </c>
      <c r="D260" s="32">
        <v>2018</v>
      </c>
      <c r="E260" s="32">
        <v>2021</v>
      </c>
      <c r="F260" s="32" t="s">
        <v>321</v>
      </c>
      <c r="G260" s="32" t="s">
        <v>323</v>
      </c>
      <c r="H260" s="38">
        <v>1965</v>
      </c>
      <c r="I260" s="32" t="s">
        <v>324</v>
      </c>
      <c r="J260" s="32" t="s">
        <v>325</v>
      </c>
      <c r="K260" s="32" t="s">
        <v>436</v>
      </c>
      <c r="L260" s="32" t="s">
        <v>437</v>
      </c>
      <c r="M260" s="50">
        <f t="shared" si="12"/>
        <v>53</v>
      </c>
      <c r="N260" s="50">
        <f t="shared" si="13"/>
        <v>55</v>
      </c>
    </row>
    <row r="261" spans="1:14" hidden="1">
      <c r="A261" s="36" t="s">
        <v>12</v>
      </c>
      <c r="B261" s="39">
        <v>2020</v>
      </c>
      <c r="C261" s="32" t="s">
        <v>434</v>
      </c>
      <c r="D261" s="32">
        <v>2018</v>
      </c>
      <c r="E261" s="32">
        <v>2021</v>
      </c>
      <c r="F261" s="32" t="s">
        <v>320</v>
      </c>
      <c r="G261" s="32" t="s">
        <v>323</v>
      </c>
      <c r="H261" s="38">
        <v>1963</v>
      </c>
      <c r="I261" s="32" t="s">
        <v>350</v>
      </c>
      <c r="J261" s="32" t="s">
        <v>340</v>
      </c>
      <c r="K261" s="32" t="s">
        <v>435</v>
      </c>
      <c r="L261" s="32" t="s">
        <v>348</v>
      </c>
      <c r="M261" s="50">
        <f t="shared" si="12"/>
        <v>55</v>
      </c>
      <c r="N261" s="50">
        <f t="shared" si="13"/>
        <v>57</v>
      </c>
    </row>
    <row r="262" spans="1:14" hidden="1">
      <c r="A262" s="36" t="s">
        <v>12</v>
      </c>
      <c r="B262" s="39">
        <v>2021</v>
      </c>
      <c r="C262" s="32" t="s">
        <v>435</v>
      </c>
      <c r="D262" s="32">
        <v>2018</v>
      </c>
      <c r="E262" s="32">
        <v>2021</v>
      </c>
      <c r="F262" s="32" t="s">
        <v>321</v>
      </c>
      <c r="G262" s="32" t="s">
        <v>323</v>
      </c>
      <c r="H262" s="38">
        <v>1965</v>
      </c>
      <c r="I262" s="32" t="s">
        <v>324</v>
      </c>
      <c r="J262" s="32" t="s">
        <v>325</v>
      </c>
      <c r="K262" s="32" t="s">
        <v>436</v>
      </c>
      <c r="L262" s="32" t="s">
        <v>437</v>
      </c>
      <c r="M262" s="50">
        <f t="shared" si="12"/>
        <v>53</v>
      </c>
      <c r="N262" s="50">
        <f t="shared" si="13"/>
        <v>56</v>
      </c>
    </row>
    <row r="263" spans="1:14" hidden="1">
      <c r="A263" s="36" t="s">
        <v>12</v>
      </c>
      <c r="B263" s="39">
        <v>2021</v>
      </c>
      <c r="C263" s="32" t="s">
        <v>434</v>
      </c>
      <c r="D263" s="32">
        <v>2018</v>
      </c>
      <c r="E263" s="32">
        <v>2021</v>
      </c>
      <c r="F263" s="32" t="s">
        <v>320</v>
      </c>
      <c r="G263" s="32" t="s">
        <v>323</v>
      </c>
      <c r="H263" s="38">
        <v>1963</v>
      </c>
      <c r="I263" s="32" t="s">
        <v>350</v>
      </c>
      <c r="J263" s="32" t="s">
        <v>340</v>
      </c>
      <c r="K263" s="32" t="s">
        <v>435</v>
      </c>
      <c r="L263" s="32" t="s">
        <v>348</v>
      </c>
      <c r="M263" s="50">
        <f t="shared" si="12"/>
        <v>55</v>
      </c>
      <c r="N263" s="50">
        <f t="shared" si="13"/>
        <v>58</v>
      </c>
    </row>
    <row r="264" spans="1:14" hidden="1">
      <c r="A264" s="36" t="s">
        <v>12</v>
      </c>
      <c r="B264" s="39">
        <v>2022</v>
      </c>
      <c r="C264" s="35"/>
      <c r="D264" s="35"/>
      <c r="E264" s="35"/>
      <c r="F264" s="35" t="s">
        <v>321</v>
      </c>
      <c r="G264" s="35"/>
      <c r="H264" s="39"/>
      <c r="I264" s="35"/>
      <c r="J264" s="35"/>
      <c r="K264" s="35"/>
      <c r="L264" s="35"/>
      <c r="M264" s="50"/>
      <c r="N264" s="50"/>
    </row>
    <row r="265" spans="1:14" hidden="1">
      <c r="A265" s="36" t="s">
        <v>12</v>
      </c>
      <c r="B265" s="39">
        <v>2022</v>
      </c>
      <c r="C265" s="35" t="s">
        <v>435</v>
      </c>
      <c r="D265" s="48">
        <v>2021</v>
      </c>
      <c r="E265" s="48">
        <v>2022</v>
      </c>
      <c r="F265" s="35" t="s">
        <v>320</v>
      </c>
      <c r="G265" s="35" t="s">
        <v>323</v>
      </c>
      <c r="H265" s="39">
        <v>1965</v>
      </c>
      <c r="I265" s="35" t="s">
        <v>324</v>
      </c>
      <c r="J265" s="35" t="s">
        <v>325</v>
      </c>
      <c r="K265" s="35"/>
      <c r="L265" s="35"/>
      <c r="M265" s="50">
        <f t="shared" si="12"/>
        <v>56</v>
      </c>
      <c r="N265" s="50">
        <f t="shared" si="13"/>
        <v>57</v>
      </c>
    </row>
    <row r="266" spans="1:14" hidden="1">
      <c r="A266" s="35" t="s">
        <v>13</v>
      </c>
      <c r="B266" s="39">
        <v>2012</v>
      </c>
      <c r="C266" s="32" t="s">
        <v>426</v>
      </c>
      <c r="D266" s="32">
        <v>2012</v>
      </c>
      <c r="E266" s="32">
        <v>2016</v>
      </c>
      <c r="F266" s="32" t="s">
        <v>321</v>
      </c>
      <c r="G266" s="32" t="s">
        <v>335</v>
      </c>
      <c r="H266" s="38">
        <v>1960</v>
      </c>
      <c r="I266" s="32" t="s">
        <v>358</v>
      </c>
      <c r="J266" s="32" t="s">
        <v>325</v>
      </c>
      <c r="K266" s="32" t="s">
        <v>427</v>
      </c>
      <c r="L266" s="32" t="s">
        <v>350</v>
      </c>
      <c r="M266" s="50">
        <f t="shared" si="12"/>
        <v>52</v>
      </c>
      <c r="N266" s="50">
        <f t="shared" si="13"/>
        <v>52</v>
      </c>
    </row>
    <row r="267" spans="1:14" hidden="1">
      <c r="A267" s="35" t="s">
        <v>13</v>
      </c>
      <c r="B267" s="39">
        <v>2012</v>
      </c>
      <c r="C267" s="32" t="s">
        <v>341</v>
      </c>
      <c r="D267" s="32">
        <v>2012</v>
      </c>
      <c r="E267" s="32">
        <v>2013</v>
      </c>
      <c r="F267" s="32" t="s">
        <v>320</v>
      </c>
      <c r="G267" s="32" t="s">
        <v>323</v>
      </c>
      <c r="H267" s="38">
        <v>1962</v>
      </c>
      <c r="I267" s="32" t="s">
        <v>342</v>
      </c>
      <c r="J267" s="32" t="s">
        <v>340</v>
      </c>
      <c r="K267" s="32" t="s">
        <v>430</v>
      </c>
      <c r="L267" s="32" t="s">
        <v>431</v>
      </c>
      <c r="M267" s="50">
        <f t="shared" si="12"/>
        <v>50</v>
      </c>
      <c r="N267" s="50">
        <f t="shared" si="13"/>
        <v>50</v>
      </c>
    </row>
    <row r="268" spans="1:14" hidden="1">
      <c r="A268" s="35" t="s">
        <v>13</v>
      </c>
      <c r="B268" s="39">
        <v>2013</v>
      </c>
      <c r="C268" s="32" t="s">
        <v>426</v>
      </c>
      <c r="D268" s="32">
        <v>2012</v>
      </c>
      <c r="E268" s="32">
        <v>2016</v>
      </c>
      <c r="F268" s="32" t="s">
        <v>321</v>
      </c>
      <c r="G268" s="32" t="s">
        <v>335</v>
      </c>
      <c r="H268" s="38">
        <v>1960</v>
      </c>
      <c r="I268" s="32" t="s">
        <v>358</v>
      </c>
      <c r="J268" s="32" t="s">
        <v>325</v>
      </c>
      <c r="K268" s="32" t="s">
        <v>427</v>
      </c>
      <c r="L268" s="32" t="s">
        <v>350</v>
      </c>
      <c r="M268" s="50">
        <f t="shared" si="12"/>
        <v>52</v>
      </c>
      <c r="N268" s="50">
        <f t="shared" si="13"/>
        <v>53</v>
      </c>
    </row>
    <row r="269" spans="1:14" hidden="1">
      <c r="A269" s="35" t="s">
        <v>13</v>
      </c>
      <c r="B269" s="39">
        <v>2013</v>
      </c>
      <c r="C269" s="32" t="s">
        <v>430</v>
      </c>
      <c r="D269" s="32">
        <v>2013</v>
      </c>
      <c r="E269" s="32">
        <v>2014</v>
      </c>
      <c r="F269" s="32" t="s">
        <v>320</v>
      </c>
      <c r="G269" s="32" t="s">
        <v>323</v>
      </c>
      <c r="H269" s="38">
        <v>1965</v>
      </c>
      <c r="I269" s="32" t="s">
        <v>431</v>
      </c>
      <c r="J269" s="32" t="s">
        <v>325</v>
      </c>
      <c r="K269" s="32" t="s">
        <v>438</v>
      </c>
      <c r="L269" s="32" t="s">
        <v>350</v>
      </c>
      <c r="M269" s="50">
        <f t="shared" si="12"/>
        <v>48</v>
      </c>
      <c r="N269" s="50">
        <f t="shared" si="13"/>
        <v>48</v>
      </c>
    </row>
    <row r="270" spans="1:14" hidden="1">
      <c r="A270" s="35" t="s">
        <v>13</v>
      </c>
      <c r="B270" s="39">
        <v>2014</v>
      </c>
      <c r="C270" s="32" t="s">
        <v>426</v>
      </c>
      <c r="D270" s="32">
        <v>2012</v>
      </c>
      <c r="E270" s="32">
        <v>2016</v>
      </c>
      <c r="F270" s="32" t="s">
        <v>321</v>
      </c>
      <c r="G270" s="32" t="s">
        <v>335</v>
      </c>
      <c r="H270" s="38">
        <v>1960</v>
      </c>
      <c r="I270" s="32" t="s">
        <v>358</v>
      </c>
      <c r="J270" s="32" t="s">
        <v>325</v>
      </c>
      <c r="K270" s="32" t="s">
        <v>427</v>
      </c>
      <c r="L270" s="32" t="s">
        <v>350</v>
      </c>
      <c r="M270" s="50">
        <f t="shared" si="12"/>
        <v>52</v>
      </c>
      <c r="N270" s="50">
        <f t="shared" si="13"/>
        <v>54</v>
      </c>
    </row>
    <row r="271" spans="1:14" hidden="1">
      <c r="A271" s="35" t="s">
        <v>13</v>
      </c>
      <c r="B271" s="39">
        <v>2014</v>
      </c>
      <c r="C271" s="32" t="s">
        <v>430</v>
      </c>
      <c r="D271" s="32">
        <v>2013</v>
      </c>
      <c r="E271" s="32">
        <v>2014</v>
      </c>
      <c r="F271" s="32" t="s">
        <v>320</v>
      </c>
      <c r="G271" s="32" t="s">
        <v>323</v>
      </c>
      <c r="H271" s="38">
        <v>1965</v>
      </c>
      <c r="I271" s="32" t="s">
        <v>431</v>
      </c>
      <c r="J271" s="32" t="s">
        <v>325</v>
      </c>
      <c r="K271" s="32" t="s">
        <v>438</v>
      </c>
      <c r="L271" s="32" t="s">
        <v>350</v>
      </c>
      <c r="M271" s="50">
        <f t="shared" si="12"/>
        <v>48</v>
      </c>
      <c r="N271" s="50">
        <f t="shared" si="13"/>
        <v>49</v>
      </c>
    </row>
    <row r="272" spans="1:14" hidden="1">
      <c r="A272" s="36" t="s">
        <v>13</v>
      </c>
      <c r="B272" s="39">
        <v>2015</v>
      </c>
      <c r="C272" s="32" t="s">
        <v>426</v>
      </c>
      <c r="D272" s="32">
        <v>2012</v>
      </c>
      <c r="E272" s="32">
        <v>2016</v>
      </c>
      <c r="F272" s="32" t="s">
        <v>321</v>
      </c>
      <c r="G272" s="32" t="s">
        <v>335</v>
      </c>
      <c r="H272" s="38">
        <v>1960</v>
      </c>
      <c r="I272" s="32" t="s">
        <v>358</v>
      </c>
      <c r="J272" s="32" t="s">
        <v>325</v>
      </c>
      <c r="K272" s="32" t="s">
        <v>427</v>
      </c>
      <c r="L272" s="32" t="s">
        <v>350</v>
      </c>
      <c r="M272" s="50">
        <f t="shared" si="12"/>
        <v>52</v>
      </c>
      <c r="N272" s="50">
        <f t="shared" si="13"/>
        <v>55</v>
      </c>
    </row>
    <row r="273" spans="1:14" hidden="1">
      <c r="A273" s="36" t="s">
        <v>13</v>
      </c>
      <c r="B273" s="39">
        <v>2015</v>
      </c>
      <c r="C273" s="32" t="s">
        <v>438</v>
      </c>
      <c r="D273" s="32">
        <v>2015</v>
      </c>
      <c r="E273" s="32">
        <v>2017</v>
      </c>
      <c r="F273" s="32" t="s">
        <v>320</v>
      </c>
      <c r="G273" s="32" t="s">
        <v>323</v>
      </c>
      <c r="H273" s="38">
        <v>1964</v>
      </c>
      <c r="I273" s="32" t="s">
        <v>350</v>
      </c>
      <c r="J273" s="32" t="s">
        <v>325</v>
      </c>
      <c r="K273" s="32" t="s">
        <v>400</v>
      </c>
      <c r="L273" s="32" t="s">
        <v>324</v>
      </c>
      <c r="M273" s="50">
        <f t="shared" si="12"/>
        <v>51</v>
      </c>
      <c r="N273" s="50">
        <f t="shared" si="13"/>
        <v>51</v>
      </c>
    </row>
    <row r="274" spans="1:14" hidden="1">
      <c r="A274" s="36" t="s">
        <v>13</v>
      </c>
      <c r="B274" s="39">
        <v>2016</v>
      </c>
      <c r="C274" s="32" t="s">
        <v>426</v>
      </c>
      <c r="D274" s="32">
        <v>2012</v>
      </c>
      <c r="E274" s="32">
        <v>2016</v>
      </c>
      <c r="F274" s="32" t="s">
        <v>321</v>
      </c>
      <c r="G274" s="32" t="s">
        <v>335</v>
      </c>
      <c r="H274" s="38">
        <v>1960</v>
      </c>
      <c r="I274" s="32" t="s">
        <v>358</v>
      </c>
      <c r="J274" s="32" t="s">
        <v>325</v>
      </c>
      <c r="K274" s="32" t="s">
        <v>427</v>
      </c>
      <c r="L274" s="32" t="s">
        <v>350</v>
      </c>
      <c r="M274" s="50">
        <f t="shared" si="12"/>
        <v>52</v>
      </c>
      <c r="N274" s="50">
        <f t="shared" si="13"/>
        <v>56</v>
      </c>
    </row>
    <row r="275" spans="1:14" hidden="1">
      <c r="A275" s="36" t="s">
        <v>13</v>
      </c>
      <c r="B275" s="39">
        <v>2016</v>
      </c>
      <c r="C275" s="32" t="s">
        <v>438</v>
      </c>
      <c r="D275" s="32">
        <v>2015</v>
      </c>
      <c r="E275" s="32">
        <v>2017</v>
      </c>
      <c r="F275" s="32" t="s">
        <v>320</v>
      </c>
      <c r="G275" s="32" t="s">
        <v>323</v>
      </c>
      <c r="H275" s="38">
        <v>1964</v>
      </c>
      <c r="I275" s="32" t="s">
        <v>350</v>
      </c>
      <c r="J275" s="32" t="s">
        <v>325</v>
      </c>
      <c r="K275" s="32" t="s">
        <v>400</v>
      </c>
      <c r="L275" s="32" t="s">
        <v>324</v>
      </c>
      <c r="M275" s="50">
        <f t="shared" si="12"/>
        <v>51</v>
      </c>
      <c r="N275" s="50">
        <f t="shared" si="13"/>
        <v>52</v>
      </c>
    </row>
    <row r="276" spans="1:14" hidden="1">
      <c r="A276" s="36" t="s">
        <v>13</v>
      </c>
      <c r="B276" s="39">
        <v>2017</v>
      </c>
      <c r="C276" s="32" t="s">
        <v>427</v>
      </c>
      <c r="D276" s="32">
        <v>2017</v>
      </c>
      <c r="E276" s="32">
        <v>2020</v>
      </c>
      <c r="F276" s="32" t="s">
        <v>321</v>
      </c>
      <c r="G276" s="32" t="s">
        <v>323</v>
      </c>
      <c r="H276" s="38">
        <v>1966</v>
      </c>
      <c r="I276" s="32" t="s">
        <v>350</v>
      </c>
      <c r="J276" s="32" t="s">
        <v>325</v>
      </c>
      <c r="K276" s="32" t="s">
        <v>428</v>
      </c>
      <c r="L276" s="32" t="s">
        <v>429</v>
      </c>
      <c r="M276" s="50">
        <f t="shared" si="12"/>
        <v>51</v>
      </c>
      <c r="N276" s="50">
        <f t="shared" si="13"/>
        <v>51</v>
      </c>
    </row>
    <row r="277" spans="1:14" hidden="1">
      <c r="A277" s="36" t="s">
        <v>13</v>
      </c>
      <c r="B277" s="39">
        <v>2017</v>
      </c>
      <c r="C277" s="32" t="s">
        <v>400</v>
      </c>
      <c r="D277" s="32">
        <v>2017</v>
      </c>
      <c r="E277" s="32">
        <v>2020</v>
      </c>
      <c r="F277" s="32" t="s">
        <v>320</v>
      </c>
      <c r="G277" s="32" t="s">
        <v>323</v>
      </c>
      <c r="H277" s="38">
        <v>1964</v>
      </c>
      <c r="I277" s="32" t="s">
        <v>324</v>
      </c>
      <c r="J277" s="32" t="s">
        <v>340</v>
      </c>
      <c r="K277" s="32" t="s">
        <v>439</v>
      </c>
      <c r="L277" s="32" t="s">
        <v>324</v>
      </c>
      <c r="M277" s="50">
        <f t="shared" si="12"/>
        <v>53</v>
      </c>
      <c r="N277" s="50">
        <f t="shared" si="13"/>
        <v>53</v>
      </c>
    </row>
    <row r="278" spans="1:14" hidden="1">
      <c r="A278" s="36" t="s">
        <v>13</v>
      </c>
      <c r="B278" s="39">
        <v>2018</v>
      </c>
      <c r="C278" s="32" t="s">
        <v>427</v>
      </c>
      <c r="D278" s="32">
        <v>2017</v>
      </c>
      <c r="E278" s="32">
        <v>2020</v>
      </c>
      <c r="F278" s="32" t="s">
        <v>321</v>
      </c>
      <c r="G278" s="32" t="s">
        <v>323</v>
      </c>
      <c r="H278" s="38">
        <v>1966</v>
      </c>
      <c r="I278" s="32" t="s">
        <v>350</v>
      </c>
      <c r="J278" s="32" t="s">
        <v>325</v>
      </c>
      <c r="K278" s="32" t="s">
        <v>428</v>
      </c>
      <c r="L278" s="32" t="s">
        <v>429</v>
      </c>
      <c r="M278" s="50">
        <f t="shared" si="12"/>
        <v>51</v>
      </c>
      <c r="N278" s="50">
        <f t="shared" si="13"/>
        <v>52</v>
      </c>
    </row>
    <row r="279" spans="1:14" hidden="1">
      <c r="A279" s="36" t="s">
        <v>13</v>
      </c>
      <c r="B279" s="39">
        <v>2018</v>
      </c>
      <c r="C279" s="32" t="s">
        <v>400</v>
      </c>
      <c r="D279" s="32">
        <v>2017</v>
      </c>
      <c r="E279" s="32">
        <v>2020</v>
      </c>
      <c r="F279" s="32" t="s">
        <v>320</v>
      </c>
      <c r="G279" s="32" t="s">
        <v>323</v>
      </c>
      <c r="H279" s="38">
        <v>1964</v>
      </c>
      <c r="I279" s="32" t="s">
        <v>324</v>
      </c>
      <c r="J279" s="32" t="s">
        <v>340</v>
      </c>
      <c r="K279" s="32" t="s">
        <v>439</v>
      </c>
      <c r="L279" s="32" t="s">
        <v>324</v>
      </c>
      <c r="M279" s="50">
        <f t="shared" si="12"/>
        <v>53</v>
      </c>
      <c r="N279" s="50">
        <f t="shared" si="13"/>
        <v>54</v>
      </c>
    </row>
    <row r="280" spans="1:14" hidden="1">
      <c r="A280" s="36" t="s">
        <v>13</v>
      </c>
      <c r="B280" s="39">
        <v>2019</v>
      </c>
      <c r="C280" s="32" t="s">
        <v>427</v>
      </c>
      <c r="D280" s="32">
        <v>2017</v>
      </c>
      <c r="E280" s="32">
        <v>2020</v>
      </c>
      <c r="F280" s="32" t="s">
        <v>321</v>
      </c>
      <c r="G280" s="32" t="s">
        <v>323</v>
      </c>
      <c r="H280" s="38">
        <v>1966</v>
      </c>
      <c r="I280" s="32" t="s">
        <v>350</v>
      </c>
      <c r="J280" s="32" t="s">
        <v>325</v>
      </c>
      <c r="K280" s="32" t="s">
        <v>428</v>
      </c>
      <c r="L280" s="32" t="s">
        <v>429</v>
      </c>
      <c r="M280" s="50">
        <f t="shared" si="12"/>
        <v>51</v>
      </c>
      <c r="N280" s="50">
        <f t="shared" si="13"/>
        <v>53</v>
      </c>
    </row>
    <row r="281" spans="1:14" hidden="1">
      <c r="A281" s="36" t="s">
        <v>13</v>
      </c>
      <c r="B281" s="39">
        <v>2019</v>
      </c>
      <c r="C281" s="32" t="s">
        <v>400</v>
      </c>
      <c r="D281" s="32">
        <v>2017</v>
      </c>
      <c r="E281" s="32">
        <v>2020</v>
      </c>
      <c r="F281" s="32" t="s">
        <v>320</v>
      </c>
      <c r="G281" s="32" t="s">
        <v>323</v>
      </c>
      <c r="H281" s="38">
        <v>1964</v>
      </c>
      <c r="I281" s="32" t="s">
        <v>324</v>
      </c>
      <c r="J281" s="32" t="s">
        <v>340</v>
      </c>
      <c r="K281" s="32" t="s">
        <v>439</v>
      </c>
      <c r="L281" s="32" t="s">
        <v>324</v>
      </c>
      <c r="M281" s="50">
        <f t="shared" si="12"/>
        <v>53</v>
      </c>
      <c r="N281" s="50">
        <f t="shared" si="13"/>
        <v>55</v>
      </c>
    </row>
    <row r="282" spans="1:14" hidden="1">
      <c r="A282" s="36" t="s">
        <v>13</v>
      </c>
      <c r="B282" s="39">
        <v>2020</v>
      </c>
      <c r="C282" s="32" t="s">
        <v>428</v>
      </c>
      <c r="D282" s="32">
        <v>2020</v>
      </c>
      <c r="E282" s="32" t="s">
        <v>354</v>
      </c>
      <c r="F282" s="32" t="s">
        <v>321</v>
      </c>
      <c r="G282" s="32" t="s">
        <v>323</v>
      </c>
      <c r="H282" s="38">
        <v>1968</v>
      </c>
      <c r="I282" s="32" t="s">
        <v>429</v>
      </c>
      <c r="J282" s="32" t="s">
        <v>325</v>
      </c>
      <c r="K282" s="35"/>
      <c r="L282" s="35"/>
      <c r="M282" s="50">
        <f t="shared" si="12"/>
        <v>52</v>
      </c>
      <c r="N282" s="50">
        <f t="shared" si="13"/>
        <v>52</v>
      </c>
    </row>
    <row r="283" spans="1:14" hidden="1">
      <c r="A283" s="36" t="s">
        <v>13</v>
      </c>
      <c r="B283" s="39">
        <v>2020</v>
      </c>
      <c r="C283" s="32" t="s">
        <v>439</v>
      </c>
      <c r="D283" s="32">
        <v>2020</v>
      </c>
      <c r="E283" s="32"/>
      <c r="F283" s="32" t="s">
        <v>320</v>
      </c>
      <c r="G283" s="32" t="s">
        <v>323</v>
      </c>
      <c r="H283" s="38">
        <v>1965</v>
      </c>
      <c r="I283" s="32" t="s">
        <v>324</v>
      </c>
      <c r="J283" s="32" t="s">
        <v>325</v>
      </c>
      <c r="K283" s="32"/>
      <c r="L283" s="32"/>
      <c r="M283" s="50">
        <f t="shared" si="12"/>
        <v>55</v>
      </c>
      <c r="N283" s="50">
        <f t="shared" si="13"/>
        <v>55</v>
      </c>
    </row>
    <row r="284" spans="1:14" hidden="1">
      <c r="A284" s="36" t="s">
        <v>13</v>
      </c>
      <c r="B284" s="39">
        <v>2021</v>
      </c>
      <c r="C284" s="32" t="s">
        <v>428</v>
      </c>
      <c r="D284" s="32">
        <v>2020</v>
      </c>
      <c r="E284" s="32" t="s">
        <v>354</v>
      </c>
      <c r="F284" s="32" t="s">
        <v>321</v>
      </c>
      <c r="G284" s="32" t="s">
        <v>323</v>
      </c>
      <c r="H284" s="38">
        <v>1968</v>
      </c>
      <c r="I284" s="32" t="s">
        <v>429</v>
      </c>
      <c r="J284" s="32" t="s">
        <v>325</v>
      </c>
      <c r="K284" s="35"/>
      <c r="L284" s="35"/>
      <c r="M284" s="50">
        <f t="shared" si="12"/>
        <v>52</v>
      </c>
      <c r="N284" s="50">
        <f t="shared" si="13"/>
        <v>53</v>
      </c>
    </row>
    <row r="285" spans="1:14" hidden="1">
      <c r="A285" s="36" t="s">
        <v>13</v>
      </c>
      <c r="B285" s="39">
        <v>2021</v>
      </c>
      <c r="C285" s="32" t="s">
        <v>439</v>
      </c>
      <c r="D285" s="32">
        <v>2020</v>
      </c>
      <c r="E285" s="32"/>
      <c r="F285" s="32" t="s">
        <v>320</v>
      </c>
      <c r="G285" s="32" t="s">
        <v>323</v>
      </c>
      <c r="H285" s="38">
        <v>1965</v>
      </c>
      <c r="I285" s="32" t="s">
        <v>324</v>
      </c>
      <c r="J285" s="32" t="s">
        <v>325</v>
      </c>
      <c r="K285" s="35"/>
      <c r="L285" s="35"/>
      <c r="M285" s="50">
        <f t="shared" si="12"/>
        <v>55</v>
      </c>
      <c r="N285" s="50">
        <f t="shared" si="13"/>
        <v>56</v>
      </c>
    </row>
    <row r="286" spans="1:14" hidden="1">
      <c r="A286" s="36" t="s">
        <v>13</v>
      </c>
      <c r="B286" s="39">
        <v>2022</v>
      </c>
      <c r="C286" s="32" t="s">
        <v>428</v>
      </c>
      <c r="D286" s="32">
        <v>2020</v>
      </c>
      <c r="E286" s="32" t="s">
        <v>354</v>
      </c>
      <c r="F286" s="32" t="s">
        <v>321</v>
      </c>
      <c r="G286" s="32" t="s">
        <v>323</v>
      </c>
      <c r="H286" s="38">
        <v>1968</v>
      </c>
      <c r="I286" s="32" t="s">
        <v>429</v>
      </c>
      <c r="J286" s="32" t="s">
        <v>325</v>
      </c>
      <c r="K286" s="35"/>
      <c r="L286" s="35"/>
      <c r="M286" s="50">
        <f t="shared" si="12"/>
        <v>52</v>
      </c>
      <c r="N286" s="50">
        <f t="shared" si="13"/>
        <v>54</v>
      </c>
    </row>
    <row r="287" spans="1:14" hidden="1">
      <c r="A287" s="36" t="s">
        <v>13</v>
      </c>
      <c r="B287" s="39">
        <v>2022</v>
      </c>
      <c r="C287" s="32" t="s">
        <v>439</v>
      </c>
      <c r="D287" s="32">
        <v>2020</v>
      </c>
      <c r="E287" s="32"/>
      <c r="F287" s="32" t="s">
        <v>320</v>
      </c>
      <c r="G287" s="32" t="s">
        <v>323</v>
      </c>
      <c r="H287" s="38">
        <v>1965</v>
      </c>
      <c r="I287" s="32" t="s">
        <v>324</v>
      </c>
      <c r="J287" s="32" t="s">
        <v>325</v>
      </c>
      <c r="K287" s="35"/>
      <c r="L287" s="35"/>
      <c r="M287" s="50">
        <f t="shared" si="12"/>
        <v>55</v>
      </c>
      <c r="N287" s="50">
        <f t="shared" si="13"/>
        <v>57</v>
      </c>
    </row>
  </sheetData>
  <autoFilter ref="A1:N287" xr:uid="{B4FAD67F-5CE7-794D-BBBE-756D01F0364B}">
    <filterColumn colId="0">
      <filters>
        <filter val="常州市"/>
      </filters>
    </filterColumn>
    <filterColumn colId="5">
      <filters>
        <filter val="市委书记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6FDE-01E4-EE47-9B4F-B30BDFDA047F}">
  <dimension ref="A1:C93"/>
  <sheetViews>
    <sheetView zoomScale="208" workbookViewId="0">
      <selection activeCell="E7" sqref="E7"/>
    </sheetView>
  </sheetViews>
  <sheetFormatPr baseColWidth="10" defaultRowHeight="14"/>
  <cols>
    <col min="1" max="2" width="10.83203125" style="19"/>
    <col min="3" max="3" width="11.6640625" style="19" bestFit="1" customWidth="1"/>
    <col min="4" max="16384" width="10.83203125" style="19"/>
  </cols>
  <sheetData>
    <row r="1" spans="1:3">
      <c r="A1" s="19" t="s">
        <v>1</v>
      </c>
      <c r="B1" s="19" t="s">
        <v>76</v>
      </c>
      <c r="C1" s="19" t="s">
        <v>74</v>
      </c>
    </row>
    <row r="2" spans="1:3" ht="15">
      <c r="A2" s="19" t="s">
        <v>12</v>
      </c>
      <c r="B2" s="16" t="s">
        <v>77</v>
      </c>
      <c r="C2" s="16">
        <v>59570.3</v>
      </c>
    </row>
    <row r="3" spans="1:3" ht="15">
      <c r="A3" s="19" t="s">
        <v>12</v>
      </c>
      <c r="B3" s="16" t="s">
        <v>78</v>
      </c>
      <c r="C3" s="16">
        <v>108112.9</v>
      </c>
    </row>
    <row r="4" spans="1:3" ht="15">
      <c r="A4" s="19" t="s">
        <v>12</v>
      </c>
      <c r="B4" s="16" t="s">
        <v>79</v>
      </c>
      <c r="C4" s="16">
        <v>73303.5</v>
      </c>
    </row>
    <row r="5" spans="1:3" ht="15">
      <c r="A5" s="19" t="s">
        <v>12</v>
      </c>
      <c r="B5" s="16" t="s">
        <v>80</v>
      </c>
      <c r="C5" s="16">
        <v>50557.4</v>
      </c>
    </row>
    <row r="6" spans="1:3" ht="15">
      <c r="A6" s="19" t="s">
        <v>12</v>
      </c>
      <c r="B6" s="16" t="s">
        <v>81</v>
      </c>
      <c r="C6" s="16">
        <v>14568.3</v>
      </c>
    </row>
    <row r="7" spans="1:3" ht="15">
      <c r="A7" s="19" t="s">
        <v>12</v>
      </c>
      <c r="B7" s="16" t="s">
        <v>82</v>
      </c>
      <c r="C7" s="16">
        <v>8992.5</v>
      </c>
    </row>
    <row r="8" spans="1:3" ht="15">
      <c r="A8" s="19" t="s">
        <v>9</v>
      </c>
      <c r="B8" s="16" t="s">
        <v>83</v>
      </c>
      <c r="C8" s="16">
        <v>3865.5</v>
      </c>
    </row>
    <row r="9" spans="1:3" ht="15">
      <c r="A9" s="19" t="s">
        <v>9</v>
      </c>
      <c r="B9" s="16" t="s">
        <v>84</v>
      </c>
      <c r="C9" s="16">
        <v>55706.9</v>
      </c>
    </row>
    <row r="10" spans="1:3" ht="15">
      <c r="A10" s="19" t="s">
        <v>9</v>
      </c>
      <c r="B10" s="16" t="s">
        <v>85</v>
      </c>
      <c r="C10" s="16">
        <v>61473.4</v>
      </c>
    </row>
    <row r="11" spans="1:3" ht="15">
      <c r="A11" s="19" t="s">
        <v>9</v>
      </c>
      <c r="B11" s="16" t="s">
        <v>86</v>
      </c>
      <c r="C11" s="16">
        <v>26341.7</v>
      </c>
    </row>
    <row r="12" spans="1:3" ht="15">
      <c r="A12" s="19" t="s">
        <v>9</v>
      </c>
      <c r="B12" s="16" t="s">
        <v>87</v>
      </c>
      <c r="C12" s="16">
        <v>83505.2</v>
      </c>
    </row>
    <row r="13" spans="1:3" ht="15">
      <c r="A13" s="19" t="s">
        <v>9</v>
      </c>
      <c r="B13" s="16" t="s">
        <v>88</v>
      </c>
      <c r="C13" s="16">
        <v>86930.9</v>
      </c>
    </row>
    <row r="14" spans="1:3" ht="15">
      <c r="A14" s="19" t="s">
        <v>9</v>
      </c>
      <c r="B14" s="16" t="s">
        <v>89</v>
      </c>
      <c r="C14" s="16">
        <v>36555.9</v>
      </c>
    </row>
    <row r="15" spans="1:3" ht="15">
      <c r="A15" s="19" t="s">
        <v>10</v>
      </c>
      <c r="B15" s="16" t="s">
        <v>90</v>
      </c>
      <c r="C15" s="16">
        <v>31334.85</v>
      </c>
    </row>
    <row r="16" spans="1:3" ht="15">
      <c r="A16" s="19" t="s">
        <v>10</v>
      </c>
      <c r="B16" s="16" t="s">
        <v>91</v>
      </c>
      <c r="C16" s="17">
        <v>47072.81</v>
      </c>
    </row>
    <row r="17" spans="1:3" ht="15">
      <c r="A17" s="19" t="s">
        <v>10</v>
      </c>
      <c r="B17" s="16" t="s">
        <v>92</v>
      </c>
      <c r="C17" s="17">
        <v>116717.67</v>
      </c>
    </row>
    <row r="18" spans="1:3" ht="15">
      <c r="A18" s="19" t="s">
        <v>10</v>
      </c>
      <c r="B18" s="16" t="s">
        <v>93</v>
      </c>
      <c r="C18" s="17">
        <v>57373.62</v>
      </c>
    </row>
    <row r="19" spans="1:3" ht="15">
      <c r="A19" s="19" t="s">
        <v>10</v>
      </c>
      <c r="B19" s="16" t="s">
        <v>94</v>
      </c>
      <c r="C19" s="17">
        <v>90511.87</v>
      </c>
    </row>
    <row r="20" spans="1:3" ht="15">
      <c r="A20" s="19" t="s">
        <v>10</v>
      </c>
      <c r="B20" s="16" t="s">
        <v>95</v>
      </c>
      <c r="C20" s="16">
        <v>78165.47</v>
      </c>
    </row>
    <row r="21" spans="1:3" ht="15">
      <c r="A21" s="19" t="s">
        <v>10</v>
      </c>
      <c r="B21" s="16" t="s">
        <v>96</v>
      </c>
      <c r="C21" s="17">
        <v>117790.67</v>
      </c>
    </row>
    <row r="22" spans="1:3" ht="15">
      <c r="A22" s="19" t="s">
        <v>10</v>
      </c>
      <c r="B22" s="16" t="s">
        <v>97</v>
      </c>
      <c r="C22" s="17">
        <v>60593.04</v>
      </c>
    </row>
    <row r="23" spans="1:3" ht="15">
      <c r="A23" s="19" t="s">
        <v>10</v>
      </c>
      <c r="B23" s="16" t="s">
        <v>98</v>
      </c>
      <c r="C23" s="16">
        <v>122197.75999999999</v>
      </c>
    </row>
    <row r="24" spans="1:3" ht="15">
      <c r="A24" s="19" t="s">
        <v>0</v>
      </c>
      <c r="B24" s="16" t="s">
        <v>99</v>
      </c>
      <c r="C24" s="16">
        <v>0</v>
      </c>
    </row>
    <row r="25" spans="1:3" ht="15">
      <c r="A25" s="19" t="s">
        <v>0</v>
      </c>
      <c r="B25" s="16" t="s">
        <v>100</v>
      </c>
      <c r="C25" s="16">
        <v>0</v>
      </c>
    </row>
    <row r="26" spans="1:3" ht="15">
      <c r="A26" s="19" t="s">
        <v>0</v>
      </c>
      <c r="B26" s="16" t="s">
        <v>101</v>
      </c>
      <c r="C26" s="16">
        <v>0</v>
      </c>
    </row>
    <row r="27" spans="1:3" ht="15">
      <c r="A27" s="19" t="s">
        <v>0</v>
      </c>
      <c r="B27" s="16" t="s">
        <v>102</v>
      </c>
      <c r="C27" s="16">
        <v>0</v>
      </c>
    </row>
    <row r="28" spans="1:3" ht="15">
      <c r="A28" s="19" t="s">
        <v>0</v>
      </c>
      <c r="B28" s="16" t="s">
        <v>103</v>
      </c>
      <c r="C28" s="16">
        <v>0</v>
      </c>
    </row>
    <row r="29" spans="1:3" ht="15">
      <c r="A29" s="19" t="s">
        <v>0</v>
      </c>
      <c r="B29" s="16" t="s">
        <v>104</v>
      </c>
      <c r="C29" s="16">
        <v>22330.2</v>
      </c>
    </row>
    <row r="30" spans="1:3" ht="15">
      <c r="A30" s="19" t="s">
        <v>0</v>
      </c>
      <c r="B30" s="16" t="s">
        <v>105</v>
      </c>
      <c r="C30" s="16">
        <v>3119.5</v>
      </c>
    </row>
    <row r="31" spans="1:3" ht="15">
      <c r="A31" s="19" t="s">
        <v>0</v>
      </c>
      <c r="B31" s="16" t="s">
        <v>106</v>
      </c>
      <c r="C31" s="16">
        <v>45.4</v>
      </c>
    </row>
    <row r="32" spans="1:3" ht="15">
      <c r="A32" s="19" t="s">
        <v>0</v>
      </c>
      <c r="B32" s="16" t="s">
        <v>107</v>
      </c>
      <c r="C32" s="16">
        <v>47909.7</v>
      </c>
    </row>
    <row r="33" spans="1:3" ht="15">
      <c r="A33" s="19" t="s">
        <v>0</v>
      </c>
      <c r="B33" s="16" t="s">
        <v>108</v>
      </c>
      <c r="C33" s="16">
        <v>55455.8</v>
      </c>
    </row>
    <row r="34" spans="1:3">
      <c r="A34" s="19" t="s">
        <v>0</v>
      </c>
      <c r="B34" s="22" t="s">
        <v>109</v>
      </c>
      <c r="C34" s="16">
        <v>33699.300000000003</v>
      </c>
    </row>
    <row r="35" spans="1:3" ht="15">
      <c r="A35" s="19" t="s">
        <v>0</v>
      </c>
      <c r="B35" s="16" t="s">
        <v>110</v>
      </c>
      <c r="C35" s="16">
        <v>32238.799999999999</v>
      </c>
    </row>
    <row r="36" spans="1:3" ht="15">
      <c r="A36" s="19" t="s">
        <v>2</v>
      </c>
      <c r="B36" s="16" t="s">
        <v>136</v>
      </c>
      <c r="C36" s="16">
        <v>208</v>
      </c>
    </row>
    <row r="37" spans="1:3" ht="15">
      <c r="A37" s="19" t="s">
        <v>2</v>
      </c>
      <c r="B37" s="16" t="s">
        <v>137</v>
      </c>
      <c r="C37" s="16">
        <v>777.8</v>
      </c>
    </row>
    <row r="38" spans="1:3" ht="15">
      <c r="A38" s="19" t="s">
        <v>2</v>
      </c>
      <c r="B38" s="16" t="s">
        <v>162</v>
      </c>
      <c r="C38" s="18">
        <v>46687.199999999997</v>
      </c>
    </row>
    <row r="39" spans="1:3" ht="15">
      <c r="A39" s="19" t="s">
        <v>2</v>
      </c>
      <c r="B39" s="16" t="s">
        <v>138</v>
      </c>
      <c r="C39" s="16">
        <v>94396.2</v>
      </c>
    </row>
    <row r="40" spans="1:3" ht="15">
      <c r="A40" s="19" t="s">
        <v>2</v>
      </c>
      <c r="B40" s="16" t="s">
        <v>139</v>
      </c>
      <c r="C40" s="18">
        <v>61720.6</v>
      </c>
    </row>
    <row r="41" spans="1:3" ht="15">
      <c r="A41" s="19" t="s">
        <v>2</v>
      </c>
      <c r="B41" s="16" t="s">
        <v>140</v>
      </c>
      <c r="C41" s="18">
        <v>70473.8</v>
      </c>
    </row>
    <row r="42" spans="1:3" ht="15">
      <c r="A42" s="19" t="s">
        <v>2</v>
      </c>
      <c r="B42" s="16" t="s">
        <v>141</v>
      </c>
      <c r="C42" s="18">
        <v>62329.2</v>
      </c>
    </row>
    <row r="43" spans="1:3" ht="15">
      <c r="A43" s="19" t="s">
        <v>2</v>
      </c>
      <c r="B43" s="16" t="s">
        <v>142</v>
      </c>
      <c r="C43" s="18">
        <v>48907.199999999997</v>
      </c>
    </row>
    <row r="44" spans="1:3" ht="15">
      <c r="A44" s="19" t="s">
        <v>4</v>
      </c>
      <c r="B44" s="16" t="s">
        <v>111</v>
      </c>
      <c r="C44" s="16">
        <v>3228.43</v>
      </c>
    </row>
    <row r="45" spans="1:3" ht="15">
      <c r="A45" s="19" t="s">
        <v>4</v>
      </c>
      <c r="B45" s="16" t="s">
        <v>112</v>
      </c>
      <c r="C45" s="16">
        <v>2251.12</v>
      </c>
    </row>
    <row r="46" spans="1:3" ht="15">
      <c r="A46" s="19" t="s">
        <v>4</v>
      </c>
      <c r="B46" s="16" t="s">
        <v>113</v>
      </c>
      <c r="C46" s="16">
        <v>7962.96</v>
      </c>
    </row>
    <row r="47" spans="1:3" ht="15">
      <c r="A47" s="19" t="s">
        <v>4</v>
      </c>
      <c r="B47" s="16" t="s">
        <v>114</v>
      </c>
      <c r="C47" s="18">
        <v>23882.21</v>
      </c>
    </row>
    <row r="48" spans="1:3" ht="15">
      <c r="A48" s="19" t="s">
        <v>4</v>
      </c>
      <c r="B48" s="16" t="s">
        <v>115</v>
      </c>
      <c r="C48" s="18">
        <v>35707.03</v>
      </c>
    </row>
    <row r="49" spans="1:3" ht="15">
      <c r="A49" s="19" t="s">
        <v>4</v>
      </c>
      <c r="B49" s="16" t="s">
        <v>116</v>
      </c>
      <c r="C49" s="18">
        <v>54851.31</v>
      </c>
    </row>
    <row r="50" spans="1:3" ht="15">
      <c r="A50" s="19" t="s">
        <v>5</v>
      </c>
      <c r="B50" s="16" t="s">
        <v>143</v>
      </c>
      <c r="C50" s="16">
        <v>75645.609299999996</v>
      </c>
    </row>
    <row r="51" spans="1:3" ht="15">
      <c r="A51" s="19" t="s">
        <v>5</v>
      </c>
      <c r="B51" s="16" t="s">
        <v>144</v>
      </c>
      <c r="C51" s="16">
        <v>66662.278999999995</v>
      </c>
    </row>
    <row r="52" spans="1:3" ht="15">
      <c r="A52" s="19" t="s">
        <v>5</v>
      </c>
      <c r="B52" s="16" t="s">
        <v>145</v>
      </c>
      <c r="C52" s="16">
        <v>86417.445999999996</v>
      </c>
    </row>
    <row r="53" spans="1:3" ht="15">
      <c r="A53" s="19" t="s">
        <v>5</v>
      </c>
      <c r="B53" s="16" t="s">
        <v>146</v>
      </c>
      <c r="C53" s="16">
        <v>107827.7789</v>
      </c>
    </row>
    <row r="54" spans="1:3" ht="15">
      <c r="A54" s="19" t="s">
        <v>5</v>
      </c>
      <c r="B54" s="16" t="s">
        <v>147</v>
      </c>
      <c r="C54" s="16">
        <v>69284.939799999993</v>
      </c>
    </row>
    <row r="55" spans="1:3" ht="15">
      <c r="A55" s="19" t="s">
        <v>5</v>
      </c>
      <c r="B55" s="16" t="s">
        <v>148</v>
      </c>
      <c r="C55" s="16">
        <v>89447.575899999996</v>
      </c>
    </row>
    <row r="56" spans="1:3" ht="15">
      <c r="A56" s="19" t="s">
        <v>5</v>
      </c>
      <c r="B56" s="16" t="s">
        <v>149</v>
      </c>
      <c r="C56" s="16">
        <v>22652.9496</v>
      </c>
    </row>
    <row r="57" spans="1:3" ht="15">
      <c r="A57" s="19" t="s">
        <v>6</v>
      </c>
      <c r="B57" s="16" t="s">
        <v>150</v>
      </c>
      <c r="C57" s="16">
        <v>6288.1</v>
      </c>
    </row>
    <row r="58" spans="1:3" ht="15">
      <c r="A58" s="19" t="s">
        <v>6</v>
      </c>
      <c r="B58" s="16" t="s">
        <v>151</v>
      </c>
      <c r="C58" s="16">
        <v>9152.1</v>
      </c>
    </row>
    <row r="59" spans="1:3" ht="15">
      <c r="A59" s="19" t="s">
        <v>6</v>
      </c>
      <c r="B59" s="16" t="s">
        <v>152</v>
      </c>
      <c r="C59" s="18">
        <v>36005.199999999997</v>
      </c>
    </row>
    <row r="60" spans="1:3" ht="15">
      <c r="A60" s="19" t="s">
        <v>6</v>
      </c>
      <c r="B60" s="16" t="s">
        <v>153</v>
      </c>
      <c r="C60" s="18">
        <v>71977.600000000006</v>
      </c>
    </row>
    <row r="61" spans="1:3" ht="15">
      <c r="A61" s="19" t="s">
        <v>6</v>
      </c>
      <c r="B61" s="16" t="s">
        <v>154</v>
      </c>
      <c r="C61" s="18">
        <v>59639.7</v>
      </c>
    </row>
    <row r="62" spans="1:3" ht="15">
      <c r="A62" s="19" t="s">
        <v>6</v>
      </c>
      <c r="B62" s="16" t="s">
        <v>155</v>
      </c>
      <c r="C62" s="18">
        <v>65632.899999999994</v>
      </c>
    </row>
    <row r="63" spans="1:3" ht="15">
      <c r="A63" s="19" t="s">
        <v>7</v>
      </c>
      <c r="B63" s="16" t="s">
        <v>117</v>
      </c>
      <c r="C63" s="16">
        <v>0</v>
      </c>
    </row>
    <row r="64" spans="1:3" ht="15">
      <c r="A64" s="19" t="s">
        <v>7</v>
      </c>
      <c r="B64" s="16" t="s">
        <v>118</v>
      </c>
      <c r="C64" s="16">
        <v>8441.7000000000007</v>
      </c>
    </row>
    <row r="65" spans="1:3" ht="15">
      <c r="A65" s="19" t="s">
        <v>7</v>
      </c>
      <c r="B65" s="16" t="s">
        <v>119</v>
      </c>
      <c r="C65" s="16">
        <v>5313.5</v>
      </c>
    </row>
    <row r="66" spans="1:3" ht="15">
      <c r="A66" s="19" t="s">
        <v>7</v>
      </c>
      <c r="B66" s="16" t="s">
        <v>120</v>
      </c>
      <c r="C66" s="16">
        <v>787.3</v>
      </c>
    </row>
    <row r="67" spans="1:3" ht="15">
      <c r="A67" s="19" t="s">
        <v>7</v>
      </c>
      <c r="B67" s="16" t="s">
        <v>121</v>
      </c>
      <c r="C67" s="16">
        <v>417.7</v>
      </c>
    </row>
    <row r="68" spans="1:3" ht="15">
      <c r="A68" s="19" t="s">
        <v>7</v>
      </c>
      <c r="B68" s="16" t="s">
        <v>166</v>
      </c>
      <c r="C68" s="16">
        <v>25280</v>
      </c>
    </row>
    <row r="69" spans="1:3" ht="15">
      <c r="A69" s="19" t="s">
        <v>7</v>
      </c>
      <c r="B69" s="16" t="s">
        <v>165</v>
      </c>
      <c r="C69" s="16">
        <v>51177.5</v>
      </c>
    </row>
    <row r="70" spans="1:3" ht="15">
      <c r="A70" s="19" t="s">
        <v>8</v>
      </c>
      <c r="B70" s="16" t="s">
        <v>156</v>
      </c>
      <c r="C70" s="16">
        <v>4334.8999999999996</v>
      </c>
    </row>
    <row r="71" spans="1:3" ht="15">
      <c r="A71" s="19" t="s">
        <v>8</v>
      </c>
      <c r="B71" s="16" t="s">
        <v>157</v>
      </c>
      <c r="C71" s="16">
        <v>7522</v>
      </c>
    </row>
    <row r="72" spans="1:3" ht="15">
      <c r="A72" s="19" t="s">
        <v>8</v>
      </c>
      <c r="B72" s="16" t="s">
        <v>158</v>
      </c>
      <c r="C72" s="16">
        <v>117122</v>
      </c>
    </row>
    <row r="73" spans="1:3" ht="15">
      <c r="A73" s="19" t="s">
        <v>8</v>
      </c>
      <c r="B73" s="16" t="s">
        <v>159</v>
      </c>
      <c r="C73" s="16">
        <v>18852.3</v>
      </c>
    </row>
    <row r="74" spans="1:3" ht="15">
      <c r="A74" s="19" t="s">
        <v>8</v>
      </c>
      <c r="B74" s="16" t="s">
        <v>160</v>
      </c>
      <c r="C74" s="16">
        <v>57358.6</v>
      </c>
    </row>
    <row r="75" spans="1:3" ht="15">
      <c r="A75" s="19" t="s">
        <v>8</v>
      </c>
      <c r="B75" s="16" t="s">
        <v>161</v>
      </c>
      <c r="C75" s="16">
        <v>44839.5</v>
      </c>
    </row>
    <row r="76" spans="1:3" ht="15">
      <c r="A76" s="19" t="s">
        <v>11</v>
      </c>
      <c r="B76" s="16" t="s">
        <v>122</v>
      </c>
      <c r="C76" s="16">
        <v>28299.22</v>
      </c>
    </row>
    <row r="77" spans="1:3" ht="15">
      <c r="A77" s="19" t="s">
        <v>11</v>
      </c>
      <c r="B77" s="16" t="s">
        <v>123</v>
      </c>
      <c r="C77" s="16">
        <v>40887.51</v>
      </c>
    </row>
    <row r="78" spans="1:3" ht="15">
      <c r="A78" s="19" t="s">
        <v>11</v>
      </c>
      <c r="B78" s="16" t="s">
        <v>124</v>
      </c>
      <c r="C78" s="16">
        <v>23942.720000000001</v>
      </c>
    </row>
    <row r="79" spans="1:3" ht="15">
      <c r="A79" s="19" t="s">
        <v>11</v>
      </c>
      <c r="B79" s="16" t="s">
        <v>125</v>
      </c>
      <c r="C79" s="16">
        <v>22582.95</v>
      </c>
    </row>
    <row r="80" spans="1:3" ht="15">
      <c r="A80" s="19" t="s">
        <v>11</v>
      </c>
      <c r="B80" s="16" t="s">
        <v>126</v>
      </c>
      <c r="C80" s="16">
        <v>32639.360000000001</v>
      </c>
    </row>
    <row r="81" spans="1:3" ht="15">
      <c r="A81" s="19" t="s">
        <v>11</v>
      </c>
      <c r="B81" s="16" t="s">
        <v>127</v>
      </c>
      <c r="C81" s="16">
        <v>9804.17</v>
      </c>
    </row>
    <row r="82" spans="1:3" ht="15">
      <c r="A82" s="19" t="s">
        <v>11</v>
      </c>
      <c r="B82" s="16" t="s">
        <v>128</v>
      </c>
      <c r="C82" s="16">
        <v>8911.14</v>
      </c>
    </row>
    <row r="83" spans="1:3" ht="15">
      <c r="A83" s="19" t="s">
        <v>11</v>
      </c>
      <c r="B83" s="16" t="s">
        <v>129</v>
      </c>
      <c r="C83" s="16">
        <v>7</v>
      </c>
    </row>
    <row r="84" spans="1:3" ht="15">
      <c r="A84" s="19" t="s">
        <v>11</v>
      </c>
      <c r="B84" s="16" t="s">
        <v>167</v>
      </c>
      <c r="C84" s="16">
        <v>1515.73</v>
      </c>
    </row>
    <row r="85" spans="1:3" ht="15">
      <c r="A85" s="19" t="s">
        <v>13</v>
      </c>
      <c r="B85" s="17" t="s">
        <v>130</v>
      </c>
      <c r="C85" s="17">
        <v>516.49</v>
      </c>
    </row>
    <row r="86" spans="1:3" ht="15">
      <c r="A86" s="19" t="s">
        <v>13</v>
      </c>
      <c r="B86" s="17" t="s">
        <v>131</v>
      </c>
      <c r="C86" s="17">
        <v>3113.72</v>
      </c>
    </row>
    <row r="87" spans="1:3" ht="15">
      <c r="A87" s="19" t="s">
        <v>13</v>
      </c>
      <c r="B87" s="17" t="s">
        <v>132</v>
      </c>
      <c r="C87" s="17">
        <v>17937.34</v>
      </c>
    </row>
    <row r="88" spans="1:3" ht="15">
      <c r="A88" s="19" t="s">
        <v>13</v>
      </c>
      <c r="B88" s="17" t="s">
        <v>133</v>
      </c>
      <c r="C88" s="17">
        <v>42467.29</v>
      </c>
    </row>
    <row r="89" spans="1:3" ht="15">
      <c r="A89" s="19" t="s">
        <v>13</v>
      </c>
      <c r="B89" s="17" t="s">
        <v>134</v>
      </c>
      <c r="C89" s="17">
        <v>5528.85</v>
      </c>
    </row>
    <row r="90" spans="1:3">
      <c r="A90" s="19" t="s">
        <v>13</v>
      </c>
      <c r="B90" s="19" t="s">
        <v>135</v>
      </c>
      <c r="C90" s="17">
        <v>53855.99</v>
      </c>
    </row>
    <row r="91" spans="1:3">
      <c r="A91" s="19" t="s">
        <v>5</v>
      </c>
      <c r="B91" s="19" t="s">
        <v>163</v>
      </c>
      <c r="C91" s="19">
        <v>765.4</v>
      </c>
    </row>
    <row r="92" spans="1:3">
      <c r="A92" s="19" t="s">
        <v>5</v>
      </c>
      <c r="B92" s="19" t="s">
        <v>102</v>
      </c>
      <c r="C92" s="19">
        <v>765.4</v>
      </c>
    </row>
    <row r="93" spans="1:3">
      <c r="A93" s="19" t="s">
        <v>5</v>
      </c>
      <c r="B93" s="19" t="s">
        <v>164</v>
      </c>
      <c r="C93" s="19">
        <v>765.4</v>
      </c>
    </row>
  </sheetData>
  <autoFilter ref="A1:B93" xr:uid="{5AEF6FDE-01E4-EE47-9B4F-B30BDFDA047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9636-3A4A-3941-B265-4FD4642211F2}">
  <dimension ref="A1:I15"/>
  <sheetViews>
    <sheetView zoomScale="189" workbookViewId="0">
      <selection activeCell="E19" sqref="E19"/>
    </sheetView>
  </sheetViews>
  <sheetFormatPr baseColWidth="10" defaultRowHeight="16"/>
  <sheetData>
    <row r="1" spans="1:9" s="20" customFormat="1">
      <c r="A1" s="20" t="s">
        <v>171</v>
      </c>
      <c r="F1" s="2" t="s">
        <v>67</v>
      </c>
    </row>
    <row r="2" spans="1:9">
      <c r="A2" t="s">
        <v>170</v>
      </c>
      <c r="B2" t="s">
        <v>168</v>
      </c>
      <c r="C2" t="s">
        <v>169</v>
      </c>
      <c r="E2" t="s">
        <v>172</v>
      </c>
      <c r="F2" t="s">
        <v>64</v>
      </c>
      <c r="G2" t="s">
        <v>173</v>
      </c>
      <c r="H2" t="s">
        <v>174</v>
      </c>
      <c r="I2" t="s">
        <v>175</v>
      </c>
    </row>
    <row r="3" spans="1:9">
      <c r="A3" t="s">
        <v>0</v>
      </c>
      <c r="B3">
        <v>3</v>
      </c>
      <c r="C3">
        <v>5</v>
      </c>
      <c r="D3">
        <f>B3+C3</f>
        <v>8</v>
      </c>
      <c r="E3" s="14">
        <v>-31525.5</v>
      </c>
      <c r="F3" s="1">
        <v>227810.1</v>
      </c>
      <c r="G3">
        <f>E3/F3</f>
        <v>-0.13838499697774592</v>
      </c>
      <c r="H3">
        <v>226324.3</v>
      </c>
      <c r="I3" s="1">
        <f>(F3-H3)*100/F3</f>
        <v>0.6522098888504142</v>
      </c>
    </row>
    <row r="4" spans="1:9">
      <c r="A4" t="s">
        <v>2</v>
      </c>
      <c r="B4">
        <v>2</v>
      </c>
      <c r="C4">
        <v>2</v>
      </c>
      <c r="D4">
        <f t="shared" ref="D4:D15" si="0">B4+C4</f>
        <v>4</v>
      </c>
      <c r="E4" s="14">
        <v>-40400</v>
      </c>
      <c r="F4" s="1">
        <v>425551.5</v>
      </c>
      <c r="G4">
        <f t="shared" ref="G4:G14" si="1">E4/F4</f>
        <v>-9.493563058760221E-2</v>
      </c>
      <c r="H4">
        <v>425899.3</v>
      </c>
      <c r="I4" s="1">
        <f t="shared" ref="I4:I15" si="2">(F4-H4)*100/F4</f>
        <v>-8.1729238411799368E-2</v>
      </c>
    </row>
    <row r="5" spans="1:9">
      <c r="A5" t="s">
        <v>3</v>
      </c>
      <c r="D5">
        <v>5</v>
      </c>
      <c r="E5" s="15"/>
      <c r="F5" s="1"/>
      <c r="I5" s="1"/>
    </row>
    <row r="6" spans="1:9">
      <c r="A6" t="s">
        <v>4</v>
      </c>
      <c r="B6">
        <v>5</v>
      </c>
      <c r="C6">
        <v>1</v>
      </c>
      <c r="D6">
        <f t="shared" si="0"/>
        <v>6</v>
      </c>
      <c r="E6" s="14">
        <v>-21151.7</v>
      </c>
      <c r="F6" s="1">
        <v>148906.67000000001</v>
      </c>
      <c r="G6">
        <f t="shared" si="1"/>
        <v>-0.14204669273713527</v>
      </c>
      <c r="H6">
        <v>148206.70000000001</v>
      </c>
      <c r="I6" s="1">
        <f t="shared" si="2"/>
        <v>0.47007296583826708</v>
      </c>
    </row>
    <row r="7" spans="1:9">
      <c r="A7" t="s">
        <v>5</v>
      </c>
      <c r="B7">
        <v>1</v>
      </c>
      <c r="C7">
        <v>6</v>
      </c>
      <c r="D7">
        <f t="shared" si="0"/>
        <v>7</v>
      </c>
      <c r="E7" s="14">
        <v>-40954</v>
      </c>
      <c r="F7" s="1">
        <v>562929.21</v>
      </c>
      <c r="G7">
        <f t="shared" si="1"/>
        <v>-7.2751598731215256E-2</v>
      </c>
      <c r="H7">
        <v>560660</v>
      </c>
      <c r="I7" s="1">
        <f t="shared" si="2"/>
        <v>0.40310752394603272</v>
      </c>
    </row>
    <row r="8" spans="1:9">
      <c r="A8" t="s">
        <v>6</v>
      </c>
      <c r="B8">
        <v>6</v>
      </c>
      <c r="C8">
        <v>2</v>
      </c>
      <c r="D8">
        <f t="shared" si="0"/>
        <v>8</v>
      </c>
      <c r="E8" s="14">
        <v>-22026.3</v>
      </c>
      <c r="F8" s="1">
        <v>270186</v>
      </c>
      <c r="G8">
        <f t="shared" si="1"/>
        <v>-8.1522728786835738E-2</v>
      </c>
      <c r="H8">
        <v>269335.09999999998</v>
      </c>
      <c r="I8" s="1">
        <f t="shared" si="2"/>
        <v>0.31493119554678012</v>
      </c>
    </row>
    <row r="9" spans="1:9">
      <c r="A9" t="s">
        <v>7</v>
      </c>
      <c r="B9">
        <v>2</v>
      </c>
      <c r="C9">
        <v>5</v>
      </c>
      <c r="D9">
        <f t="shared" si="0"/>
        <v>7</v>
      </c>
      <c r="E9" s="14">
        <v>-19440.8</v>
      </c>
      <c r="F9" s="1">
        <v>109880.1</v>
      </c>
      <c r="G9">
        <f t="shared" si="1"/>
        <v>-0.17692739631653046</v>
      </c>
      <c r="H9">
        <v>109880</v>
      </c>
      <c r="I9" s="1">
        <f t="shared" si="2"/>
        <v>9.1008289950428474E-5</v>
      </c>
    </row>
    <row r="10" spans="1:9">
      <c r="A10" t="s">
        <v>8</v>
      </c>
      <c r="B10">
        <v>3</v>
      </c>
      <c r="C10">
        <v>2</v>
      </c>
      <c r="D10">
        <f t="shared" si="0"/>
        <v>5</v>
      </c>
      <c r="E10" s="14">
        <v>-23175.5</v>
      </c>
      <c r="F10" s="1">
        <v>272755.3</v>
      </c>
      <c r="G10">
        <f t="shared" si="1"/>
        <v>-8.496810144477486E-2</v>
      </c>
      <c r="H10">
        <v>273204.8</v>
      </c>
      <c r="I10" s="1">
        <f t="shared" si="2"/>
        <v>-0.16479973074767018</v>
      </c>
    </row>
    <row r="11" spans="1:9">
      <c r="A11" t="s">
        <v>9</v>
      </c>
      <c r="B11">
        <v>2</v>
      </c>
      <c r="C11">
        <v>0</v>
      </c>
      <c r="D11">
        <f t="shared" si="0"/>
        <v>2</v>
      </c>
      <c r="E11" s="14">
        <v>-26341.599999999999</v>
      </c>
      <c r="F11" s="1">
        <v>422301.6</v>
      </c>
      <c r="G11">
        <f t="shared" si="1"/>
        <v>-6.2376273260627002E-2</v>
      </c>
      <c r="H11">
        <v>421040.3</v>
      </c>
      <c r="I11" s="1">
        <f t="shared" si="2"/>
        <v>0.2986727968826044</v>
      </c>
    </row>
    <row r="12" spans="1:9">
      <c r="A12" t="s">
        <v>10</v>
      </c>
      <c r="B12">
        <v>1</v>
      </c>
      <c r="C12">
        <v>2</v>
      </c>
      <c r="D12">
        <f t="shared" si="0"/>
        <v>3</v>
      </c>
      <c r="E12" s="14">
        <v>-41997.72</v>
      </c>
      <c r="F12" s="1">
        <v>766011.5</v>
      </c>
      <c r="G12">
        <f t="shared" si="1"/>
        <v>-5.4826487591896469E-2</v>
      </c>
      <c r="H12">
        <v>762863.02</v>
      </c>
      <c r="I12" s="1">
        <f t="shared" si="2"/>
        <v>0.41102254992255094</v>
      </c>
    </row>
    <row r="13" spans="1:9">
      <c r="A13" t="s">
        <v>11</v>
      </c>
      <c r="B13">
        <v>2</v>
      </c>
      <c r="C13">
        <v>4</v>
      </c>
      <c r="D13">
        <f>B13+C13</f>
        <v>6</v>
      </c>
      <c r="E13" s="14">
        <v>-36880.58</v>
      </c>
      <c r="F13" s="1">
        <v>206209.76</v>
      </c>
      <c r="G13">
        <f t="shared" si="1"/>
        <v>-0.17884982747664321</v>
      </c>
      <c r="H13">
        <v>205470.38</v>
      </c>
      <c r="I13" s="1">
        <f t="shared" si="2"/>
        <v>0.35855722832905901</v>
      </c>
    </row>
    <row r="14" spans="1:9">
      <c r="A14" t="s">
        <v>12</v>
      </c>
      <c r="B14">
        <v>2</v>
      </c>
      <c r="C14">
        <v>1</v>
      </c>
      <c r="D14">
        <f t="shared" si="0"/>
        <v>3</v>
      </c>
      <c r="E14" s="14">
        <v>-22094.400000000001</v>
      </c>
      <c r="F14" s="1">
        <v>337108.6</v>
      </c>
      <c r="G14">
        <f t="shared" si="1"/>
        <v>-6.5540896909779225E-2</v>
      </c>
      <c r="H14">
        <v>335537.10000000003</v>
      </c>
      <c r="I14" s="1">
        <f t="shared" si="2"/>
        <v>0.46617024899392717</v>
      </c>
    </row>
    <row r="15" spans="1:9">
      <c r="A15" t="s">
        <v>13</v>
      </c>
      <c r="B15">
        <v>5</v>
      </c>
      <c r="C15">
        <v>5</v>
      </c>
      <c r="D15">
        <f t="shared" si="0"/>
        <v>10</v>
      </c>
      <c r="E15" s="14">
        <v>-16121.4</v>
      </c>
      <c r="F15" s="1">
        <v>140013.72</v>
      </c>
      <c r="G15">
        <f>E15/F15</f>
        <v>-0.11514157326867681</v>
      </c>
      <c r="H15">
        <v>139093.29999999999</v>
      </c>
      <c r="I15" s="1">
        <f t="shared" si="2"/>
        <v>0.65737843405632879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2F4B-FFD4-9743-96D1-8529F47F625D}">
  <dimension ref="A1:C14"/>
  <sheetViews>
    <sheetView zoomScale="125" workbookViewId="0">
      <selection activeCell="D15" sqref="D15"/>
    </sheetView>
  </sheetViews>
  <sheetFormatPr baseColWidth="10" defaultRowHeight="16"/>
  <cols>
    <col min="2" max="2" width="20.5" customWidth="1"/>
  </cols>
  <sheetData>
    <row r="1" spans="1:3">
      <c r="A1" t="s">
        <v>1</v>
      </c>
      <c r="B1" t="s">
        <v>176</v>
      </c>
      <c r="C1" t="s">
        <v>177</v>
      </c>
    </row>
    <row r="2" spans="1:3">
      <c r="A2" t="s">
        <v>0</v>
      </c>
      <c r="B2" s="14">
        <v>8</v>
      </c>
      <c r="C2">
        <v>-0.13929348284740084</v>
      </c>
    </row>
    <row r="3" spans="1:3">
      <c r="A3" t="s">
        <v>2</v>
      </c>
      <c r="B3" s="14">
        <v>4</v>
      </c>
      <c r="C3">
        <v>-9.4858103781809464E-2</v>
      </c>
    </row>
    <row r="4" spans="1:3">
      <c r="A4" t="s">
        <v>3</v>
      </c>
      <c r="B4" s="15">
        <v>5</v>
      </c>
      <c r="C4">
        <v>-0.12370993178813196</v>
      </c>
    </row>
    <row r="5" spans="1:3">
      <c r="A5" t="s">
        <v>4</v>
      </c>
      <c r="B5" s="14">
        <v>6</v>
      </c>
      <c r="C5">
        <v>-0.14271756944861466</v>
      </c>
    </row>
    <row r="6" spans="1:3">
      <c r="A6" t="s">
        <v>5</v>
      </c>
      <c r="B6" s="14">
        <v>7</v>
      </c>
      <c r="C6">
        <v>-7.3046052866264755E-2</v>
      </c>
    </row>
    <row r="7" spans="1:3">
      <c r="A7" t="s">
        <v>6</v>
      </c>
      <c r="B7" s="14">
        <v>8</v>
      </c>
      <c r="C7">
        <v>-8.1780280401626076E-2</v>
      </c>
    </row>
    <row r="8" spans="1:3">
      <c r="A8" t="s">
        <v>7</v>
      </c>
      <c r="B8" s="14">
        <v>7</v>
      </c>
      <c r="C8">
        <v>-0.17692755733527485</v>
      </c>
    </row>
    <row r="9" spans="1:3">
      <c r="A9" t="s">
        <v>8</v>
      </c>
      <c r="B9" s="14">
        <v>5</v>
      </c>
      <c r="C9">
        <v>-8.4828304627151505E-2</v>
      </c>
    </row>
    <row r="10" spans="1:3">
      <c r="A10" t="s">
        <v>9</v>
      </c>
      <c r="B10" s="14">
        <v>2</v>
      </c>
      <c r="C10">
        <v>-6.256313231773776E-2</v>
      </c>
    </row>
    <row r="11" spans="1:3">
      <c r="A11" t="s">
        <v>10</v>
      </c>
      <c r="B11" s="14">
        <v>3</v>
      </c>
      <c r="C11">
        <v>-5.5052766878121842E-2</v>
      </c>
    </row>
    <row r="12" spans="1:3">
      <c r="A12" t="s">
        <v>11</v>
      </c>
      <c r="B12" s="14">
        <v>6</v>
      </c>
      <c r="C12">
        <v>-0.17949341408722758</v>
      </c>
    </row>
    <row r="13" spans="1:3">
      <c r="A13" t="s">
        <v>12</v>
      </c>
      <c r="B13" s="14">
        <v>3</v>
      </c>
      <c r="C13">
        <v>-6.5847860042898387E-2</v>
      </c>
    </row>
    <row r="14" spans="1:3">
      <c r="A14" t="s">
        <v>13</v>
      </c>
      <c r="B14" s="14">
        <v>10</v>
      </c>
      <c r="C14">
        <v>-0.11590349786797784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80A9-2601-2C44-BB8F-76EB612F30E1}">
  <dimension ref="A1:D97"/>
  <sheetViews>
    <sheetView zoomScale="228" workbookViewId="0">
      <selection activeCell="D5" sqref="D5"/>
    </sheetView>
  </sheetViews>
  <sheetFormatPr baseColWidth="10" defaultRowHeight="14"/>
  <cols>
    <col min="1" max="2" width="10.83203125" style="19"/>
    <col min="3" max="3" width="11.6640625" style="19" bestFit="1" customWidth="1"/>
    <col min="4" max="16384" width="10.83203125" style="19"/>
  </cols>
  <sheetData>
    <row r="1" spans="1:4">
      <c r="A1" s="19" t="s">
        <v>1</v>
      </c>
      <c r="B1" s="19" t="s">
        <v>76</v>
      </c>
      <c r="C1" s="19" t="s">
        <v>178</v>
      </c>
      <c r="D1" s="19" t="s">
        <v>179</v>
      </c>
    </row>
    <row r="2" spans="1:4" ht="16">
      <c r="A2" s="19" t="s">
        <v>0</v>
      </c>
      <c r="B2" s="16" t="s">
        <v>99</v>
      </c>
      <c r="C2" s="26">
        <v>0.78</v>
      </c>
      <c r="D2" s="24">
        <v>100.9</v>
      </c>
    </row>
    <row r="3" spans="1:4" ht="16">
      <c r="A3" s="19" t="s">
        <v>0</v>
      </c>
      <c r="B3" s="16" t="s">
        <v>100</v>
      </c>
      <c r="C3" s="26">
        <v>0.84299999999999997</v>
      </c>
      <c r="D3" s="24">
        <v>121.8</v>
      </c>
    </row>
    <row r="4" spans="1:4" ht="16">
      <c r="A4" s="19" t="s">
        <v>0</v>
      </c>
      <c r="B4" s="16" t="s">
        <v>101</v>
      </c>
      <c r="C4" s="26">
        <v>0.69099999999999995</v>
      </c>
      <c r="D4" s="24">
        <v>264.60000000000002</v>
      </c>
    </row>
    <row r="5" spans="1:4" ht="16">
      <c r="A5" s="19" t="s">
        <v>0</v>
      </c>
      <c r="B5" s="16" t="s">
        <v>102</v>
      </c>
      <c r="C5" s="26">
        <v>0.83499999999999996</v>
      </c>
      <c r="D5" s="24">
        <v>3</v>
      </c>
    </row>
    <row r="6" spans="1:4" ht="16">
      <c r="A6" s="19" t="s">
        <v>0</v>
      </c>
      <c r="B6" s="16" t="s">
        <v>104</v>
      </c>
      <c r="C6" s="26">
        <v>0.20599999999999999</v>
      </c>
      <c r="D6" s="24">
        <v>693.2</v>
      </c>
    </row>
    <row r="7" spans="1:4" ht="16">
      <c r="A7" s="19" t="s">
        <v>0</v>
      </c>
      <c r="B7" s="16" t="s">
        <v>105</v>
      </c>
      <c r="C7" s="26">
        <v>0.23</v>
      </c>
      <c r="D7" s="24">
        <v>509.6</v>
      </c>
    </row>
    <row r="8" spans="1:4" ht="16">
      <c r="A8" s="19" t="s">
        <v>0</v>
      </c>
      <c r="B8" s="16" t="s">
        <v>106</v>
      </c>
      <c r="C8" s="26">
        <v>0.29499999999999998</v>
      </c>
      <c r="D8" s="24">
        <v>606.4</v>
      </c>
    </row>
    <row r="9" spans="1:4" ht="16">
      <c r="A9" s="19" t="s">
        <v>0</v>
      </c>
      <c r="B9" s="16" t="s">
        <v>107</v>
      </c>
      <c r="C9" s="26">
        <v>0.14799999999999999</v>
      </c>
      <c r="D9" s="24">
        <v>1343.7</v>
      </c>
    </row>
    <row r="10" spans="1:4" ht="16">
      <c r="A10" s="19" t="s">
        <v>0</v>
      </c>
      <c r="B10" s="16" t="s">
        <v>108</v>
      </c>
      <c r="C10" s="26">
        <v>9.8000000000000004E-2</v>
      </c>
      <c r="D10" s="24">
        <v>642.5</v>
      </c>
    </row>
    <row r="11" spans="1:4" ht="16">
      <c r="A11" s="19" t="s">
        <v>0</v>
      </c>
      <c r="B11" s="22" t="s">
        <v>109</v>
      </c>
      <c r="C11" s="26">
        <v>7.1999999999999995E-2</v>
      </c>
      <c r="D11" s="24">
        <v>365.6</v>
      </c>
    </row>
    <row r="12" spans="1:4" ht="16">
      <c r="A12" s="19" t="s">
        <v>0</v>
      </c>
      <c r="B12" s="16" t="s">
        <v>110</v>
      </c>
      <c r="C12" s="26">
        <v>6.7000000000000004E-2</v>
      </c>
      <c r="D12" s="24">
        <v>243.2</v>
      </c>
    </row>
    <row r="13" spans="1:4" ht="16">
      <c r="A13" s="19" t="s">
        <v>2</v>
      </c>
      <c r="B13" s="16" t="s">
        <v>136</v>
      </c>
      <c r="C13" s="26">
        <v>0.61399999999999999</v>
      </c>
      <c r="D13" s="24">
        <v>946.9</v>
      </c>
    </row>
    <row r="14" spans="1:4" ht="16">
      <c r="A14" s="19" t="s">
        <v>2</v>
      </c>
      <c r="B14" s="16" t="s">
        <v>137</v>
      </c>
      <c r="C14" s="26">
        <v>0.58599999999999997</v>
      </c>
      <c r="D14" s="24">
        <v>1075.0999999999999</v>
      </c>
    </row>
    <row r="15" spans="1:4" ht="16">
      <c r="A15" s="19" t="s">
        <v>2</v>
      </c>
      <c r="B15" s="16" t="s">
        <v>162</v>
      </c>
      <c r="C15" s="26">
        <v>7.0999999999999994E-2</v>
      </c>
      <c r="D15" s="24">
        <v>366.8</v>
      </c>
    </row>
    <row r="16" spans="1:4" ht="16">
      <c r="A16" s="19" t="s">
        <v>2</v>
      </c>
      <c r="B16" s="16" t="s">
        <v>138</v>
      </c>
      <c r="C16" s="26">
        <v>0.03</v>
      </c>
      <c r="D16" s="24">
        <v>414.4</v>
      </c>
    </row>
    <row r="17" spans="1:4" ht="16">
      <c r="A17" s="19" t="s">
        <v>2</v>
      </c>
      <c r="B17" s="16" t="s">
        <v>139</v>
      </c>
      <c r="C17" s="26">
        <v>7.0000000000000007E-2</v>
      </c>
      <c r="D17" s="24">
        <v>683.8</v>
      </c>
    </row>
    <row r="18" spans="1:4" ht="16">
      <c r="A18" s="19" t="s">
        <v>2</v>
      </c>
      <c r="B18" s="16" t="s">
        <v>140</v>
      </c>
      <c r="C18" s="26">
        <v>0.05</v>
      </c>
      <c r="D18" s="24">
        <v>499.4</v>
      </c>
    </row>
    <row r="19" spans="1:4" ht="16">
      <c r="A19" s="19" t="s">
        <v>2</v>
      </c>
      <c r="B19" s="16" t="s">
        <v>141</v>
      </c>
      <c r="C19" s="26">
        <v>7.4999999999999997E-2</v>
      </c>
      <c r="D19" s="24">
        <v>739</v>
      </c>
    </row>
    <row r="20" spans="1:4" ht="16">
      <c r="A20" s="19" t="s">
        <v>2</v>
      </c>
      <c r="B20" s="16" t="s">
        <v>142</v>
      </c>
      <c r="C20" s="26">
        <v>9.2999999999999999E-2</v>
      </c>
      <c r="D20" s="24">
        <v>383.5</v>
      </c>
    </row>
    <row r="21" spans="1:4" ht="16">
      <c r="A21" s="19" t="s">
        <v>4</v>
      </c>
      <c r="B21" s="16" t="s">
        <v>111</v>
      </c>
      <c r="C21" s="26">
        <v>0.54100000000000004</v>
      </c>
      <c r="D21" s="24">
        <v>316.91000000000003</v>
      </c>
    </row>
    <row r="22" spans="1:4" ht="16">
      <c r="A22" s="19" t="s">
        <v>4</v>
      </c>
      <c r="B22" s="16" t="s">
        <v>112</v>
      </c>
      <c r="C22" s="26">
        <v>0.63400000000000001</v>
      </c>
      <c r="D22" s="24">
        <v>316.91000000000003</v>
      </c>
    </row>
    <row r="23" spans="1:4" ht="16">
      <c r="A23" s="19" t="s">
        <v>4</v>
      </c>
      <c r="B23" s="16" t="s">
        <v>113</v>
      </c>
      <c r="C23" s="26">
        <v>0.34499999999999997</v>
      </c>
      <c r="D23" s="24">
        <v>677.57</v>
      </c>
    </row>
    <row r="24" spans="1:4" ht="16">
      <c r="A24" s="19" t="s">
        <v>4</v>
      </c>
      <c r="B24" s="16" t="s">
        <v>114</v>
      </c>
      <c r="C24" s="26">
        <v>0.13300000000000001</v>
      </c>
      <c r="D24" s="24">
        <v>1151.9100000000001</v>
      </c>
    </row>
    <row r="25" spans="1:4" ht="16">
      <c r="A25" s="19" t="s">
        <v>4</v>
      </c>
      <c r="B25" s="16" t="s">
        <v>115</v>
      </c>
      <c r="C25" s="26">
        <v>9.4E-2</v>
      </c>
      <c r="D25" s="24">
        <v>632.54999999999995</v>
      </c>
    </row>
    <row r="26" spans="1:4" ht="16">
      <c r="A26" s="19" t="s">
        <v>4</v>
      </c>
      <c r="B26" s="16" t="s">
        <v>116</v>
      </c>
      <c r="C26" s="26">
        <v>5.1999999999999998E-2</v>
      </c>
      <c r="D26" s="24">
        <v>632.55999999999995</v>
      </c>
    </row>
    <row r="27" spans="1:4" ht="16">
      <c r="A27" s="19" t="s">
        <v>5</v>
      </c>
      <c r="B27" s="16" t="s">
        <v>143</v>
      </c>
      <c r="C27" s="26">
        <v>3.9E-2</v>
      </c>
      <c r="D27" s="24">
        <v>315.35000000000002</v>
      </c>
    </row>
    <row r="28" spans="1:4" ht="16">
      <c r="A28" s="19" t="s">
        <v>5</v>
      </c>
      <c r="B28" s="16" t="s">
        <v>144</v>
      </c>
      <c r="C28" s="26">
        <v>0.04</v>
      </c>
      <c r="D28" s="24">
        <v>529.33000000000004</v>
      </c>
    </row>
    <row r="29" spans="1:4" ht="16">
      <c r="A29" s="19" t="s">
        <v>5</v>
      </c>
      <c r="B29" s="16" t="s">
        <v>145</v>
      </c>
      <c r="C29" s="26">
        <v>2.8000000000000001E-2</v>
      </c>
      <c r="D29" s="24">
        <v>389.92</v>
      </c>
    </row>
    <row r="30" spans="1:4" ht="16">
      <c r="A30" s="19" t="s">
        <v>5</v>
      </c>
      <c r="B30" s="16" t="s">
        <v>146</v>
      </c>
      <c r="C30" s="26">
        <v>5.2999999999999999E-2</v>
      </c>
      <c r="D30" s="24">
        <v>807.81</v>
      </c>
    </row>
    <row r="31" spans="1:4" ht="16">
      <c r="A31" s="19" t="s">
        <v>5</v>
      </c>
      <c r="B31" s="16" t="s">
        <v>147</v>
      </c>
      <c r="C31" s="26">
        <v>3.9E-2</v>
      </c>
      <c r="D31" s="24">
        <v>505.77</v>
      </c>
    </row>
    <row r="32" spans="1:4" ht="16">
      <c r="A32" s="19" t="s">
        <v>5</v>
      </c>
      <c r="B32" s="16" t="s">
        <v>148</v>
      </c>
      <c r="C32" s="26">
        <v>0.05</v>
      </c>
      <c r="D32" s="24">
        <v>1454.31</v>
      </c>
    </row>
    <row r="33" spans="1:4" ht="16">
      <c r="A33" s="19" t="s">
        <v>5</v>
      </c>
      <c r="B33" s="16" t="s">
        <v>149</v>
      </c>
      <c r="C33" s="26">
        <v>0.06</v>
      </c>
      <c r="D33" s="24">
        <v>400.82</v>
      </c>
    </row>
    <row r="34" spans="1:4" ht="16">
      <c r="A34" s="19" t="s">
        <v>5</v>
      </c>
      <c r="B34" s="19" t="s">
        <v>163</v>
      </c>
      <c r="C34" s="26">
        <v>0.23699999999999999</v>
      </c>
      <c r="D34" s="24">
        <v>400.82</v>
      </c>
    </row>
    <row r="35" spans="1:4" ht="16">
      <c r="A35" s="19" t="s">
        <v>5</v>
      </c>
      <c r="B35" s="19" t="s">
        <v>102</v>
      </c>
      <c r="C35" s="26">
        <v>0.55100000000000005</v>
      </c>
      <c r="D35" s="24">
        <v>400.82</v>
      </c>
    </row>
    <row r="36" spans="1:4" ht="16">
      <c r="A36" s="19" t="s">
        <v>5</v>
      </c>
      <c r="B36" s="19" t="s">
        <v>164</v>
      </c>
      <c r="C36" s="26">
        <v>0.52300000000000002</v>
      </c>
      <c r="D36" s="24">
        <v>400.82</v>
      </c>
    </row>
    <row r="37" spans="1:4" ht="16">
      <c r="A37" s="19" t="s">
        <v>6</v>
      </c>
      <c r="B37" s="16" t="s">
        <v>150</v>
      </c>
      <c r="C37" s="26">
        <v>0.41499999999999998</v>
      </c>
      <c r="D37" s="24">
        <v>864.3</v>
      </c>
    </row>
    <row r="38" spans="1:4" ht="16">
      <c r="A38" s="19" t="s">
        <v>6</v>
      </c>
      <c r="B38" s="16" t="s">
        <v>151</v>
      </c>
      <c r="C38" s="26">
        <v>0.28100000000000003</v>
      </c>
      <c r="D38" s="24">
        <v>1422.9</v>
      </c>
    </row>
    <row r="39" spans="1:4" ht="16">
      <c r="A39" s="19" t="s">
        <v>6</v>
      </c>
      <c r="B39" s="16" t="s">
        <v>152</v>
      </c>
      <c r="C39" s="26">
        <v>8.8999999999999996E-2</v>
      </c>
      <c r="D39" s="24">
        <v>698.7</v>
      </c>
    </row>
    <row r="40" spans="1:4" ht="16">
      <c r="A40" s="19" t="s">
        <v>6</v>
      </c>
      <c r="B40" s="16" t="s">
        <v>153</v>
      </c>
      <c r="C40" s="26">
        <v>6.4000000000000001E-2</v>
      </c>
      <c r="D40" s="24">
        <v>838.5</v>
      </c>
    </row>
    <row r="41" spans="1:4" ht="16">
      <c r="A41" s="19" t="s">
        <v>6</v>
      </c>
      <c r="B41" s="16" t="s">
        <v>154</v>
      </c>
      <c r="C41" s="26">
        <v>5.8000000000000003E-2</v>
      </c>
      <c r="D41" s="24">
        <v>828</v>
      </c>
    </row>
    <row r="42" spans="1:4" ht="16">
      <c r="A42" s="19" t="s">
        <v>6</v>
      </c>
      <c r="B42" s="16" t="s">
        <v>155</v>
      </c>
      <c r="C42" s="26">
        <v>3.1E-2</v>
      </c>
      <c r="D42" s="24">
        <v>628.20000000000005</v>
      </c>
    </row>
    <row r="43" spans="1:4" ht="16">
      <c r="A43" s="19" t="s">
        <v>7</v>
      </c>
      <c r="B43" s="16" t="s">
        <v>117</v>
      </c>
      <c r="C43" s="26">
        <v>0.82399999999999995</v>
      </c>
      <c r="D43" s="24">
        <v>60.5</v>
      </c>
    </row>
    <row r="44" spans="1:4" ht="16">
      <c r="A44" s="19" t="s">
        <v>7</v>
      </c>
      <c r="B44" s="16" t="s">
        <v>118</v>
      </c>
      <c r="C44" s="26">
        <v>0.22</v>
      </c>
      <c r="D44" s="24">
        <v>450</v>
      </c>
    </row>
    <row r="45" spans="1:4" ht="16">
      <c r="A45" s="19" t="s">
        <v>7</v>
      </c>
      <c r="B45" s="16" t="s">
        <v>119</v>
      </c>
      <c r="C45" s="26">
        <v>0.124</v>
      </c>
      <c r="D45" s="24">
        <v>557.9</v>
      </c>
    </row>
    <row r="46" spans="1:4" ht="16">
      <c r="A46" s="19" t="s">
        <v>7</v>
      </c>
      <c r="B46" s="16" t="s">
        <v>120</v>
      </c>
      <c r="C46" s="26">
        <v>0.252</v>
      </c>
      <c r="D46" s="24">
        <v>406</v>
      </c>
    </row>
    <row r="47" spans="1:4" ht="16">
      <c r="A47" s="19" t="s">
        <v>7</v>
      </c>
      <c r="B47" s="16" t="s">
        <v>121</v>
      </c>
      <c r="C47" s="26">
        <v>0.315</v>
      </c>
      <c r="D47" s="24">
        <v>330.1</v>
      </c>
    </row>
    <row r="48" spans="1:4" ht="16">
      <c r="A48" s="19" t="s">
        <v>7</v>
      </c>
      <c r="B48" s="16" t="s">
        <v>166</v>
      </c>
      <c r="C48" s="26">
        <v>0.14000000000000001</v>
      </c>
      <c r="D48" s="24">
        <v>431.6</v>
      </c>
    </row>
    <row r="49" spans="1:4" ht="16">
      <c r="A49" s="19" t="s">
        <v>7</v>
      </c>
      <c r="B49" s="16" t="s">
        <v>165</v>
      </c>
      <c r="C49" s="26">
        <v>5.8999999999999997E-2</v>
      </c>
      <c r="D49" s="24">
        <v>620</v>
      </c>
    </row>
    <row r="50" spans="1:4" ht="16">
      <c r="A50" s="19" t="s">
        <v>8</v>
      </c>
      <c r="B50" s="16" t="s">
        <v>156</v>
      </c>
      <c r="C50" s="26">
        <v>0.45300000000000001</v>
      </c>
      <c r="D50" s="24">
        <v>1779.1</v>
      </c>
    </row>
    <row r="51" spans="1:4" ht="16">
      <c r="A51" s="19" t="s">
        <v>8</v>
      </c>
      <c r="B51" s="16" t="s">
        <v>157</v>
      </c>
      <c r="C51" s="26">
        <v>0.314</v>
      </c>
      <c r="D51" s="24">
        <v>1862.9</v>
      </c>
    </row>
    <row r="52" spans="1:4" ht="16">
      <c r="A52" s="19" t="s">
        <v>8</v>
      </c>
      <c r="B52" s="16" t="s">
        <v>158</v>
      </c>
      <c r="C52" s="26">
        <v>4.2999999999999997E-2</v>
      </c>
      <c r="D52" s="24">
        <v>873.9</v>
      </c>
    </row>
    <row r="53" spans="1:4" ht="16">
      <c r="A53" s="19" t="s">
        <v>8</v>
      </c>
      <c r="B53" s="16" t="s">
        <v>159</v>
      </c>
      <c r="C53" s="26">
        <v>8.2000000000000003E-2</v>
      </c>
      <c r="D53" s="24">
        <v>688.6</v>
      </c>
    </row>
    <row r="54" spans="1:4" ht="16">
      <c r="A54" s="19" t="s">
        <v>8</v>
      </c>
      <c r="B54" s="16" t="s">
        <v>160</v>
      </c>
      <c r="C54" s="26">
        <v>6.7000000000000004E-2</v>
      </c>
      <c r="D54" s="24">
        <v>663.3</v>
      </c>
    </row>
    <row r="55" spans="1:4" ht="16">
      <c r="A55" s="19" t="s">
        <v>8</v>
      </c>
      <c r="B55" s="16" t="s">
        <v>161</v>
      </c>
      <c r="C55" s="26">
        <v>4.2999999999999997E-2</v>
      </c>
      <c r="D55" s="24">
        <v>564.6</v>
      </c>
    </row>
    <row r="56" spans="1:4" ht="16">
      <c r="A56" s="19" t="s">
        <v>9</v>
      </c>
      <c r="B56" s="16" t="s">
        <v>83</v>
      </c>
      <c r="C56" s="26">
        <v>0.23599999999999999</v>
      </c>
      <c r="D56" s="24">
        <v>2950.3</v>
      </c>
    </row>
    <row r="57" spans="1:4" ht="16">
      <c r="A57" s="19" t="s">
        <v>9</v>
      </c>
      <c r="B57" s="16" t="s">
        <v>84</v>
      </c>
      <c r="C57" s="26">
        <v>0.13400000000000001</v>
      </c>
      <c r="D57" s="24">
        <v>230.5</v>
      </c>
    </row>
    <row r="58" spans="1:4" ht="16">
      <c r="A58" s="19" t="s">
        <v>9</v>
      </c>
      <c r="B58" s="16" t="s">
        <v>85</v>
      </c>
      <c r="C58" s="26">
        <v>8.5000000000000006E-2</v>
      </c>
      <c r="D58" s="24">
        <v>2030.3</v>
      </c>
    </row>
    <row r="59" spans="1:4" ht="16">
      <c r="A59" s="19" t="s">
        <v>9</v>
      </c>
      <c r="B59" s="16" t="s">
        <v>86</v>
      </c>
      <c r="C59" s="26">
        <v>7.2999999999999995E-2</v>
      </c>
      <c r="D59" s="24">
        <v>454.1</v>
      </c>
    </row>
    <row r="60" spans="1:4" ht="16">
      <c r="A60" s="19" t="s">
        <v>9</v>
      </c>
      <c r="B60" s="16" t="s">
        <v>87</v>
      </c>
      <c r="C60" s="26">
        <v>2.7E-2</v>
      </c>
      <c r="D60" s="24">
        <v>354.1</v>
      </c>
    </row>
    <row r="61" spans="1:4" ht="16">
      <c r="A61" s="19" t="s">
        <v>9</v>
      </c>
      <c r="B61" s="16" t="s">
        <v>88</v>
      </c>
      <c r="C61" s="26">
        <v>2.1000000000000001E-2</v>
      </c>
      <c r="D61" s="24">
        <v>220.5</v>
      </c>
    </row>
    <row r="62" spans="1:4" ht="16">
      <c r="A62" s="19" t="s">
        <v>9</v>
      </c>
      <c r="B62" s="16" t="s">
        <v>89</v>
      </c>
      <c r="C62" s="26">
        <v>3.1E-2</v>
      </c>
      <c r="D62" s="24">
        <v>325.8</v>
      </c>
    </row>
    <row r="63" spans="1:4" ht="16">
      <c r="A63" s="19" t="s">
        <v>10</v>
      </c>
      <c r="B63" s="16" t="s">
        <v>90</v>
      </c>
      <c r="C63" s="26">
        <v>0.21199999999999999</v>
      </c>
      <c r="D63" s="24">
        <v>1705.82</v>
      </c>
    </row>
    <row r="64" spans="1:4" ht="16">
      <c r="A64" s="19" t="s">
        <v>10</v>
      </c>
      <c r="B64" s="16" t="s">
        <v>91</v>
      </c>
      <c r="C64" s="26">
        <v>0.152</v>
      </c>
      <c r="D64" s="24">
        <v>1367.78</v>
      </c>
    </row>
    <row r="65" spans="1:4" ht="16">
      <c r="A65" s="19" t="s">
        <v>10</v>
      </c>
      <c r="B65" s="16" t="s">
        <v>92</v>
      </c>
      <c r="C65" s="26">
        <v>0.08</v>
      </c>
      <c r="D65" s="24">
        <v>758.12</v>
      </c>
    </row>
    <row r="66" spans="1:4" ht="16">
      <c r="A66" s="19" t="s">
        <v>10</v>
      </c>
      <c r="B66" s="16" t="s">
        <v>93</v>
      </c>
      <c r="C66" s="26">
        <v>3.4000000000000002E-2</v>
      </c>
      <c r="D66" s="24">
        <v>353.64</v>
      </c>
    </row>
    <row r="67" spans="1:4" ht="16">
      <c r="A67" s="19" t="s">
        <v>10</v>
      </c>
      <c r="B67" s="16" t="s">
        <v>94</v>
      </c>
      <c r="C67" s="26">
        <v>3.4000000000000002E-2</v>
      </c>
      <c r="D67" s="24">
        <v>449.31</v>
      </c>
    </row>
    <row r="68" spans="1:4" ht="16">
      <c r="A68" s="19" t="s">
        <v>10</v>
      </c>
      <c r="B68" s="16" t="s">
        <v>95</v>
      </c>
      <c r="C68" s="26">
        <v>2.4E-2</v>
      </c>
      <c r="D68" s="24">
        <v>505.83</v>
      </c>
    </row>
    <row r="69" spans="1:4" ht="16">
      <c r="A69" s="19" t="s">
        <v>10</v>
      </c>
      <c r="B69" s="16" t="s">
        <v>96</v>
      </c>
      <c r="C69" s="26">
        <v>2.9000000000000001E-2</v>
      </c>
      <c r="D69" s="24">
        <v>471</v>
      </c>
    </row>
    <row r="70" spans="1:4" ht="16">
      <c r="A70" s="19" t="s">
        <v>10</v>
      </c>
      <c r="B70" s="16" t="s">
        <v>97</v>
      </c>
      <c r="C70" s="26">
        <v>3.7999999999999999E-2</v>
      </c>
      <c r="D70" s="24">
        <v>502.86</v>
      </c>
    </row>
    <row r="71" spans="1:4" ht="16">
      <c r="A71" s="19" t="s">
        <v>10</v>
      </c>
      <c r="B71" s="16" t="s">
        <v>98</v>
      </c>
      <c r="C71" s="26">
        <v>4.1000000000000002E-2</v>
      </c>
      <c r="D71" s="24">
        <v>578.42999999999995</v>
      </c>
    </row>
    <row r="72" spans="1:4" ht="16">
      <c r="A72" s="19" t="s">
        <v>11</v>
      </c>
      <c r="B72" s="16" t="s">
        <v>122</v>
      </c>
      <c r="C72" s="26">
        <v>0.108</v>
      </c>
      <c r="D72" s="25">
        <v>321.17</v>
      </c>
    </row>
    <row r="73" spans="1:4" ht="16">
      <c r="A73" s="19" t="s">
        <v>11</v>
      </c>
      <c r="B73" s="16" t="s">
        <v>123</v>
      </c>
      <c r="C73" s="26">
        <v>0.1</v>
      </c>
      <c r="D73" s="25">
        <v>403.98</v>
      </c>
    </row>
    <row r="74" spans="1:4" ht="16">
      <c r="A74" s="19" t="s">
        <v>11</v>
      </c>
      <c r="B74" s="16" t="s">
        <v>124</v>
      </c>
      <c r="C74" s="26">
        <v>0.10299999999999999</v>
      </c>
      <c r="D74" s="25">
        <v>655.66</v>
      </c>
    </row>
    <row r="75" spans="1:4" ht="16">
      <c r="A75" s="19" t="s">
        <v>11</v>
      </c>
      <c r="B75" s="16" t="s">
        <v>125</v>
      </c>
      <c r="C75" s="26">
        <v>0.184</v>
      </c>
      <c r="D75" s="25">
        <v>229.83</v>
      </c>
    </row>
    <row r="76" spans="1:4" ht="16">
      <c r="A76" s="19" t="s">
        <v>11</v>
      </c>
      <c r="B76" s="16" t="s">
        <v>126</v>
      </c>
      <c r="C76" s="26">
        <v>0.13400000000000001</v>
      </c>
      <c r="D76" s="25">
        <v>297.68</v>
      </c>
    </row>
    <row r="77" spans="1:4" ht="16">
      <c r="A77" s="19" t="s">
        <v>11</v>
      </c>
      <c r="B77" s="16" t="s">
        <v>127</v>
      </c>
      <c r="C77" s="26">
        <v>0.125</v>
      </c>
      <c r="D77" s="25">
        <v>493.46</v>
      </c>
    </row>
    <row r="78" spans="1:4" ht="16">
      <c r="A78" s="19" t="s">
        <v>11</v>
      </c>
      <c r="B78" s="16" t="s">
        <v>128</v>
      </c>
      <c r="C78" s="26">
        <v>0.16600000000000001</v>
      </c>
      <c r="D78" s="25">
        <v>270.37</v>
      </c>
    </row>
    <row r="79" spans="1:4" ht="16">
      <c r="A79" s="19" t="s">
        <v>11</v>
      </c>
      <c r="B79" s="16" t="s">
        <v>129</v>
      </c>
      <c r="C79" s="26">
        <v>0.70799999999999996</v>
      </c>
      <c r="D79" s="25">
        <v>609.77</v>
      </c>
    </row>
    <row r="80" spans="1:4" ht="16">
      <c r="A80" s="19" t="s">
        <v>11</v>
      </c>
      <c r="B80" s="16" t="s">
        <v>167</v>
      </c>
      <c r="C80" s="26">
        <v>0.221</v>
      </c>
      <c r="D80" s="25">
        <v>419.04</v>
      </c>
    </row>
    <row r="81" spans="1:4" ht="16">
      <c r="A81" s="19" t="s">
        <v>12</v>
      </c>
      <c r="B81" s="16" t="s">
        <v>77</v>
      </c>
      <c r="C81" s="26">
        <v>5.5E-2</v>
      </c>
      <c r="D81" s="24">
        <v>561</v>
      </c>
    </row>
    <row r="82" spans="1:4" ht="16">
      <c r="A82" s="19" t="s">
        <v>12</v>
      </c>
      <c r="B82" s="16" t="s">
        <v>78</v>
      </c>
      <c r="C82" s="26">
        <v>3.7999999999999999E-2</v>
      </c>
      <c r="D82" s="24">
        <v>632</v>
      </c>
    </row>
    <row r="83" spans="1:4" ht="16">
      <c r="A83" s="19" t="s">
        <v>12</v>
      </c>
      <c r="B83" s="16" t="s">
        <v>79</v>
      </c>
      <c r="C83" s="26">
        <v>2.7E-2</v>
      </c>
      <c r="D83" s="24">
        <v>677.5</v>
      </c>
    </row>
    <row r="84" spans="1:4" ht="16">
      <c r="A84" s="19" t="s">
        <v>12</v>
      </c>
      <c r="B84" s="16" t="s">
        <v>80</v>
      </c>
      <c r="C84" s="26">
        <v>3.2000000000000001E-2</v>
      </c>
      <c r="D84" s="24">
        <v>534.6</v>
      </c>
    </row>
    <row r="85" spans="1:4" ht="16">
      <c r="A85" s="19" t="s">
        <v>12</v>
      </c>
      <c r="B85" s="16" t="s">
        <v>81</v>
      </c>
      <c r="C85" s="26">
        <v>0.17</v>
      </c>
      <c r="D85" s="24">
        <v>1521.1</v>
      </c>
    </row>
    <row r="86" spans="1:4" ht="16">
      <c r="A86" s="19" t="s">
        <v>12</v>
      </c>
      <c r="B86" s="16" t="s">
        <v>82</v>
      </c>
      <c r="C86" s="26">
        <v>0.13700000000000001</v>
      </c>
      <c r="D86" s="24">
        <v>594.29999999999995</v>
      </c>
    </row>
    <row r="87" spans="1:4" ht="16">
      <c r="A87" s="19" t="s">
        <v>13</v>
      </c>
      <c r="B87" s="17" t="s">
        <v>130</v>
      </c>
      <c r="C87" s="26">
        <v>0.41899999999999998</v>
      </c>
      <c r="D87" s="24">
        <v>301.23</v>
      </c>
    </row>
    <row r="88" spans="1:4" ht="16">
      <c r="A88" s="19" t="s">
        <v>13</v>
      </c>
      <c r="B88" s="17" t="s">
        <v>131</v>
      </c>
      <c r="C88" s="26">
        <v>0.32</v>
      </c>
      <c r="D88" s="24">
        <v>523.66999999999996</v>
      </c>
    </row>
    <row r="89" spans="1:4" ht="16">
      <c r="A89" s="19" t="s">
        <v>13</v>
      </c>
      <c r="B89" s="17" t="s">
        <v>132</v>
      </c>
      <c r="C89" s="26">
        <v>0.11600000000000001</v>
      </c>
      <c r="D89" s="24">
        <v>1051.96</v>
      </c>
    </row>
    <row r="90" spans="1:4" ht="16">
      <c r="A90" s="19" t="s">
        <v>13</v>
      </c>
      <c r="B90" s="17" t="s">
        <v>133</v>
      </c>
      <c r="C90" s="26">
        <v>0.108</v>
      </c>
      <c r="D90" s="24">
        <v>1023.32</v>
      </c>
    </row>
    <row r="91" spans="1:4" ht="16">
      <c r="A91" s="19" t="s">
        <v>13</v>
      </c>
      <c r="B91" s="17" t="s">
        <v>134</v>
      </c>
      <c r="C91" s="26">
        <v>0.121</v>
      </c>
      <c r="D91" s="24">
        <v>576</v>
      </c>
    </row>
    <row r="92" spans="1:4" ht="16">
      <c r="A92" s="19" t="s">
        <v>13</v>
      </c>
      <c r="B92" s="19" t="s">
        <v>135</v>
      </c>
      <c r="C92" s="26">
        <v>6.3E-2</v>
      </c>
      <c r="D92" s="24">
        <v>446.74</v>
      </c>
    </row>
    <row r="93" spans="1:4" ht="16">
      <c r="A93" s="19" t="s">
        <v>3</v>
      </c>
      <c r="B93" s="19" t="s">
        <v>183</v>
      </c>
      <c r="C93" s="26">
        <v>0.13100000000000001</v>
      </c>
      <c r="D93" s="25">
        <v>2398.6</v>
      </c>
    </row>
    <row r="94" spans="1:4" ht="16">
      <c r="A94" s="19" t="s">
        <v>3</v>
      </c>
      <c r="B94" s="19" t="s">
        <v>184</v>
      </c>
      <c r="C94" s="26">
        <v>0.14699999999999999</v>
      </c>
      <c r="D94" s="25">
        <v>2105.6</v>
      </c>
    </row>
    <row r="95" spans="1:4" ht="16">
      <c r="A95" s="19" t="s">
        <v>3</v>
      </c>
      <c r="B95" s="19" t="s">
        <v>187</v>
      </c>
      <c r="C95" s="26">
        <v>0.03</v>
      </c>
      <c r="D95" s="25"/>
    </row>
    <row r="96" spans="1:4" ht="16">
      <c r="A96" s="19" t="s">
        <v>3</v>
      </c>
      <c r="B96" s="19" t="s">
        <v>185</v>
      </c>
      <c r="C96" s="26">
        <v>3.2000000000000001E-2</v>
      </c>
      <c r="D96" s="25"/>
    </row>
    <row r="97" spans="1:4" ht="16">
      <c r="A97" s="19" t="s">
        <v>3</v>
      </c>
      <c r="B97" s="19" t="s">
        <v>186</v>
      </c>
      <c r="C97" s="26">
        <v>2.4E-2</v>
      </c>
      <c r="D97" s="25"/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B35E-440B-1647-9258-D40947788BFC}">
  <dimension ref="A1:D97"/>
  <sheetViews>
    <sheetView tabSelected="1" zoomScale="200" workbookViewId="0">
      <selection activeCell="D6" sqref="D6"/>
    </sheetView>
  </sheetViews>
  <sheetFormatPr baseColWidth="10" defaultRowHeight="16"/>
  <sheetData>
    <row r="1" spans="1:4">
      <c r="A1" s="27" t="s">
        <v>1</v>
      </c>
      <c r="B1" s="27" t="s">
        <v>76</v>
      </c>
      <c r="C1" s="27" t="s">
        <v>178</v>
      </c>
      <c r="D1" t="s">
        <v>179</v>
      </c>
    </row>
    <row r="2" spans="1:4">
      <c r="A2" t="s">
        <v>0</v>
      </c>
      <c r="B2" t="s">
        <v>108</v>
      </c>
      <c r="C2">
        <v>0.5</v>
      </c>
      <c r="D2" s="24">
        <v>642.5</v>
      </c>
    </row>
    <row r="3" spans="1:4">
      <c r="A3" t="s">
        <v>0</v>
      </c>
      <c r="B3" t="s">
        <v>101</v>
      </c>
      <c r="C3">
        <v>1</v>
      </c>
      <c r="D3" s="24">
        <v>264.60000000000002</v>
      </c>
    </row>
    <row r="4" spans="1:4">
      <c r="A4" t="s">
        <v>0</v>
      </c>
      <c r="B4" t="s">
        <v>105</v>
      </c>
      <c r="C4">
        <v>0.5</v>
      </c>
      <c r="D4" s="24">
        <v>509.6</v>
      </c>
    </row>
    <row r="5" spans="1:4">
      <c r="A5" t="s">
        <v>0</v>
      </c>
      <c r="B5" t="s">
        <v>107</v>
      </c>
      <c r="C5">
        <v>0.5</v>
      </c>
      <c r="D5" s="24">
        <v>1343.7</v>
      </c>
    </row>
    <row r="6" spans="1:4">
      <c r="A6" t="s">
        <v>0</v>
      </c>
      <c r="B6" t="s">
        <v>104</v>
      </c>
      <c r="C6">
        <v>0.5</v>
      </c>
      <c r="D6" s="24">
        <v>693.2</v>
      </c>
    </row>
    <row r="7" spans="1:4">
      <c r="A7" t="s">
        <v>0</v>
      </c>
      <c r="B7" t="s">
        <v>109</v>
      </c>
      <c r="C7">
        <v>0</v>
      </c>
      <c r="D7" s="24">
        <v>365.6</v>
      </c>
    </row>
    <row r="8" spans="1:4">
      <c r="A8" t="s">
        <v>0</v>
      </c>
      <c r="B8" t="s">
        <v>99</v>
      </c>
      <c r="C8">
        <v>1</v>
      </c>
      <c r="D8" s="24">
        <v>100.9</v>
      </c>
    </row>
    <row r="9" spans="1:4">
      <c r="A9" t="s">
        <v>0</v>
      </c>
      <c r="B9" t="s">
        <v>100</v>
      </c>
      <c r="C9">
        <v>1</v>
      </c>
      <c r="D9" s="24">
        <v>121.8</v>
      </c>
    </row>
    <row r="10" spans="1:4">
      <c r="A10" t="s">
        <v>0</v>
      </c>
      <c r="B10" t="s">
        <v>106</v>
      </c>
      <c r="C10">
        <v>0.5</v>
      </c>
      <c r="D10" s="24">
        <v>606.4</v>
      </c>
    </row>
    <row r="11" spans="1:4">
      <c r="A11" t="s">
        <v>0</v>
      </c>
      <c r="B11" t="s">
        <v>110</v>
      </c>
      <c r="C11">
        <v>0</v>
      </c>
      <c r="D11" s="24">
        <v>243.2</v>
      </c>
    </row>
    <row r="12" spans="1:4">
      <c r="A12" t="s">
        <v>0</v>
      </c>
      <c r="B12" t="s">
        <v>102</v>
      </c>
      <c r="C12">
        <v>1</v>
      </c>
      <c r="D12" s="24">
        <v>3</v>
      </c>
    </row>
    <row r="13" spans="1:4">
      <c r="A13" t="s">
        <v>2</v>
      </c>
      <c r="B13" t="s">
        <v>197</v>
      </c>
      <c r="C13">
        <v>0</v>
      </c>
      <c r="D13" s="24">
        <v>683.8</v>
      </c>
    </row>
    <row r="14" spans="1:4">
      <c r="A14" t="s">
        <v>2</v>
      </c>
      <c r="B14" t="s">
        <v>196</v>
      </c>
      <c r="C14">
        <v>0</v>
      </c>
      <c r="D14" s="24">
        <v>414.4</v>
      </c>
    </row>
    <row r="15" spans="1:4">
      <c r="A15" t="s">
        <v>2</v>
      </c>
      <c r="B15" t="s">
        <v>198</v>
      </c>
      <c r="C15">
        <v>0</v>
      </c>
      <c r="D15" s="24">
        <v>499.4</v>
      </c>
    </row>
    <row r="16" spans="1:4">
      <c r="A16" t="s">
        <v>2</v>
      </c>
      <c r="B16" t="s">
        <v>194</v>
      </c>
      <c r="C16">
        <v>1</v>
      </c>
      <c r="D16" s="24">
        <v>946.9</v>
      </c>
    </row>
    <row r="17" spans="1:4">
      <c r="A17" t="s">
        <v>2</v>
      </c>
      <c r="B17" t="s">
        <v>162</v>
      </c>
      <c r="C17">
        <v>0</v>
      </c>
      <c r="D17" s="24">
        <v>366.8</v>
      </c>
    </row>
    <row r="18" spans="1:4">
      <c r="A18" t="s">
        <v>2</v>
      </c>
      <c r="B18" t="s">
        <v>200</v>
      </c>
      <c r="C18">
        <v>0</v>
      </c>
      <c r="D18" s="24">
        <v>383.5</v>
      </c>
    </row>
    <row r="19" spans="1:4">
      <c r="A19" t="s">
        <v>2</v>
      </c>
      <c r="B19" t="s">
        <v>195</v>
      </c>
      <c r="C19">
        <v>1</v>
      </c>
      <c r="D19" s="24">
        <v>1075.0999999999999</v>
      </c>
    </row>
    <row r="20" spans="1:4">
      <c r="A20" t="s">
        <v>2</v>
      </c>
      <c r="B20" t="s">
        <v>199</v>
      </c>
      <c r="C20">
        <v>0.5</v>
      </c>
      <c r="D20" s="24">
        <v>739</v>
      </c>
    </row>
    <row r="21" spans="1:4">
      <c r="A21" t="s">
        <v>3</v>
      </c>
      <c r="B21" t="s">
        <v>183</v>
      </c>
      <c r="C21">
        <v>1</v>
      </c>
      <c r="D21" s="25">
        <v>2398.6</v>
      </c>
    </row>
    <row r="22" spans="1:4">
      <c r="A22" t="s">
        <v>3</v>
      </c>
      <c r="B22" t="s">
        <v>184</v>
      </c>
      <c r="C22">
        <v>1</v>
      </c>
      <c r="D22" s="25">
        <v>2105.6</v>
      </c>
    </row>
    <row r="23" spans="1:4">
      <c r="A23" t="s">
        <v>3</v>
      </c>
      <c r="B23" t="s">
        <v>187</v>
      </c>
      <c r="C23">
        <v>0</v>
      </c>
      <c r="D23" s="25"/>
    </row>
    <row r="24" spans="1:4">
      <c r="A24" t="s">
        <v>3</v>
      </c>
      <c r="B24" t="s">
        <v>185</v>
      </c>
      <c r="C24">
        <v>0</v>
      </c>
      <c r="D24" s="25"/>
    </row>
    <row r="25" spans="1:4">
      <c r="A25" t="s">
        <v>3</v>
      </c>
      <c r="B25" t="s">
        <v>186</v>
      </c>
      <c r="C25">
        <v>0</v>
      </c>
      <c r="D25" s="25"/>
    </row>
    <row r="26" spans="1:4">
      <c r="A26" t="s">
        <v>4</v>
      </c>
      <c r="B26" t="s">
        <v>201</v>
      </c>
      <c r="C26">
        <v>1</v>
      </c>
      <c r="D26" s="24">
        <v>316.91000000000003</v>
      </c>
    </row>
    <row r="27" spans="1:4">
      <c r="A27" t="s">
        <v>4</v>
      </c>
      <c r="B27" t="s">
        <v>203</v>
      </c>
      <c r="C27">
        <v>1</v>
      </c>
      <c r="D27" s="24">
        <v>677.57</v>
      </c>
    </row>
    <row r="28" spans="1:4">
      <c r="A28" t="s">
        <v>4</v>
      </c>
      <c r="B28" t="s">
        <v>204</v>
      </c>
      <c r="C28">
        <v>0.5</v>
      </c>
      <c r="D28" s="24">
        <v>1151.9100000000001</v>
      </c>
    </row>
    <row r="29" spans="1:4">
      <c r="A29" t="s">
        <v>4</v>
      </c>
      <c r="B29" t="s">
        <v>206</v>
      </c>
      <c r="C29">
        <v>0</v>
      </c>
      <c r="D29" s="24">
        <v>632.55999999999995</v>
      </c>
    </row>
    <row r="30" spans="1:4">
      <c r="A30" t="s">
        <v>4</v>
      </c>
      <c r="B30" t="s">
        <v>205</v>
      </c>
      <c r="C30">
        <v>0</v>
      </c>
      <c r="D30" s="24">
        <v>632.54999999999995</v>
      </c>
    </row>
    <row r="31" spans="1:4">
      <c r="A31" t="s">
        <v>4</v>
      </c>
      <c r="B31" t="s">
        <v>202</v>
      </c>
      <c r="C31">
        <v>1</v>
      </c>
      <c r="D31" s="24">
        <v>316.91000000000003</v>
      </c>
    </row>
    <row r="32" spans="1:4">
      <c r="A32" t="s">
        <v>5</v>
      </c>
      <c r="B32" t="s">
        <v>207</v>
      </c>
      <c r="C32">
        <v>0</v>
      </c>
      <c r="D32" s="24">
        <v>315.35000000000002</v>
      </c>
    </row>
    <row r="33" spans="1:4">
      <c r="A33" t="s">
        <v>5</v>
      </c>
      <c r="B33" t="s">
        <v>164</v>
      </c>
      <c r="C33">
        <v>1</v>
      </c>
      <c r="D33" s="24">
        <v>400.82</v>
      </c>
    </row>
    <row r="34" spans="1:4">
      <c r="A34" t="s">
        <v>5</v>
      </c>
      <c r="B34" t="s">
        <v>211</v>
      </c>
      <c r="C34">
        <v>0</v>
      </c>
      <c r="D34" s="24">
        <v>505.77</v>
      </c>
    </row>
    <row r="35" spans="1:4">
      <c r="A35" t="s">
        <v>5</v>
      </c>
      <c r="B35" t="s">
        <v>208</v>
      </c>
      <c r="C35">
        <v>0</v>
      </c>
      <c r="D35" s="24">
        <v>529.33000000000004</v>
      </c>
    </row>
    <row r="36" spans="1:4">
      <c r="A36" t="s">
        <v>5</v>
      </c>
      <c r="B36" t="s">
        <v>163</v>
      </c>
      <c r="C36">
        <v>1</v>
      </c>
      <c r="D36" s="24">
        <v>400.82</v>
      </c>
    </row>
    <row r="37" spans="1:4">
      <c r="A37" t="s">
        <v>5</v>
      </c>
      <c r="B37" t="s">
        <v>209</v>
      </c>
      <c r="C37">
        <v>0</v>
      </c>
      <c r="D37" s="24">
        <v>389.92</v>
      </c>
    </row>
    <row r="38" spans="1:4">
      <c r="A38" t="s">
        <v>5</v>
      </c>
      <c r="B38" t="s">
        <v>213</v>
      </c>
      <c r="C38">
        <v>0</v>
      </c>
      <c r="D38" s="24">
        <v>400.82</v>
      </c>
    </row>
    <row r="39" spans="1:4">
      <c r="A39" t="s">
        <v>5</v>
      </c>
      <c r="B39" t="s">
        <v>210</v>
      </c>
      <c r="C39">
        <v>0</v>
      </c>
      <c r="D39" s="24">
        <v>807.81</v>
      </c>
    </row>
    <row r="40" spans="1:4">
      <c r="A40" t="s">
        <v>5</v>
      </c>
      <c r="B40" t="s">
        <v>212</v>
      </c>
      <c r="C40">
        <v>0.5</v>
      </c>
      <c r="D40" s="24">
        <v>1454.31</v>
      </c>
    </row>
    <row r="41" spans="1:4">
      <c r="A41" t="s">
        <v>5</v>
      </c>
      <c r="B41" t="s">
        <v>102</v>
      </c>
      <c r="C41">
        <v>1</v>
      </c>
      <c r="D41" s="24">
        <v>400.82</v>
      </c>
    </row>
    <row r="42" spans="1:4">
      <c r="A42" t="s">
        <v>6</v>
      </c>
      <c r="B42" t="s">
        <v>216</v>
      </c>
      <c r="C42">
        <v>0</v>
      </c>
      <c r="D42" s="24">
        <v>698.7</v>
      </c>
    </row>
    <row r="43" spans="1:4">
      <c r="A43" t="s">
        <v>6</v>
      </c>
      <c r="B43" t="s">
        <v>219</v>
      </c>
      <c r="C43">
        <v>0</v>
      </c>
      <c r="D43" s="24">
        <v>628.20000000000005</v>
      </c>
    </row>
    <row r="44" spans="1:4">
      <c r="A44" t="s">
        <v>6</v>
      </c>
      <c r="B44" t="s">
        <v>214</v>
      </c>
      <c r="C44">
        <v>1</v>
      </c>
      <c r="D44" s="24">
        <v>864.3</v>
      </c>
    </row>
    <row r="45" spans="1:4">
      <c r="A45" t="s">
        <v>6</v>
      </c>
      <c r="B45" t="s">
        <v>218</v>
      </c>
      <c r="C45">
        <v>0</v>
      </c>
      <c r="D45" s="24">
        <v>828</v>
      </c>
    </row>
    <row r="46" spans="1:4">
      <c r="A46" t="s">
        <v>6</v>
      </c>
      <c r="B46" t="s">
        <v>215</v>
      </c>
      <c r="C46">
        <v>1</v>
      </c>
      <c r="D46" s="24">
        <v>1422.9</v>
      </c>
    </row>
    <row r="47" spans="1:4">
      <c r="A47" t="s">
        <v>6</v>
      </c>
      <c r="B47" t="s">
        <v>217</v>
      </c>
      <c r="C47">
        <v>0</v>
      </c>
      <c r="D47" s="24">
        <v>838.5</v>
      </c>
    </row>
    <row r="48" spans="1:4">
      <c r="A48" t="s">
        <v>7</v>
      </c>
      <c r="B48" t="s">
        <v>165</v>
      </c>
      <c r="C48">
        <v>0</v>
      </c>
      <c r="D48" s="24">
        <v>620</v>
      </c>
    </row>
    <row r="49" spans="1:4">
      <c r="A49" t="s">
        <v>7</v>
      </c>
      <c r="B49" t="s">
        <v>222</v>
      </c>
      <c r="C49">
        <v>0.5</v>
      </c>
      <c r="D49" s="24">
        <v>557.9</v>
      </c>
    </row>
    <row r="50" spans="1:4">
      <c r="A50" t="s">
        <v>7</v>
      </c>
      <c r="B50" t="s">
        <v>224</v>
      </c>
      <c r="C50">
        <v>0.5</v>
      </c>
      <c r="D50" s="24">
        <v>330.1</v>
      </c>
    </row>
    <row r="51" spans="1:4">
      <c r="A51" t="s">
        <v>7</v>
      </c>
      <c r="B51" t="s">
        <v>220</v>
      </c>
      <c r="C51">
        <v>1</v>
      </c>
      <c r="D51" s="24">
        <v>60.5</v>
      </c>
    </row>
    <row r="52" spans="1:4">
      <c r="A52" t="s">
        <v>7</v>
      </c>
      <c r="B52" t="s">
        <v>166</v>
      </c>
      <c r="C52">
        <v>0</v>
      </c>
      <c r="D52" s="24">
        <v>431.6</v>
      </c>
    </row>
    <row r="53" spans="1:4">
      <c r="A53" t="s">
        <v>7</v>
      </c>
      <c r="B53" t="s">
        <v>223</v>
      </c>
      <c r="C53">
        <v>0.5</v>
      </c>
      <c r="D53" s="24">
        <v>406</v>
      </c>
    </row>
    <row r="54" spans="1:4">
      <c r="A54" t="s">
        <v>7</v>
      </c>
      <c r="B54" t="s">
        <v>221</v>
      </c>
      <c r="C54">
        <v>0.5</v>
      </c>
      <c r="D54" s="24">
        <v>450</v>
      </c>
    </row>
    <row r="55" spans="1:4">
      <c r="A55" t="s">
        <v>8</v>
      </c>
      <c r="B55" t="s">
        <v>227</v>
      </c>
      <c r="C55">
        <v>0</v>
      </c>
      <c r="D55" s="24">
        <v>873.9</v>
      </c>
    </row>
    <row r="56" spans="1:4">
      <c r="A56" t="s">
        <v>8</v>
      </c>
      <c r="B56" t="s">
        <v>230</v>
      </c>
      <c r="C56">
        <v>0</v>
      </c>
      <c r="D56" s="24">
        <v>564.6</v>
      </c>
    </row>
    <row r="57" spans="1:4">
      <c r="A57" t="s">
        <v>8</v>
      </c>
      <c r="B57" t="s">
        <v>229</v>
      </c>
      <c r="C57">
        <v>0</v>
      </c>
      <c r="D57" s="24">
        <v>663.3</v>
      </c>
    </row>
    <row r="58" spans="1:4">
      <c r="A58" t="s">
        <v>8</v>
      </c>
      <c r="B58" t="s">
        <v>225</v>
      </c>
      <c r="C58">
        <v>1</v>
      </c>
      <c r="D58" s="24">
        <v>1779.1</v>
      </c>
    </row>
    <row r="59" spans="1:4">
      <c r="A59" t="s">
        <v>8</v>
      </c>
      <c r="B59" t="s">
        <v>228</v>
      </c>
      <c r="C59">
        <v>0</v>
      </c>
      <c r="D59" s="24">
        <v>688.6</v>
      </c>
    </row>
    <row r="60" spans="1:4">
      <c r="A60" t="s">
        <v>8</v>
      </c>
      <c r="B60" t="s">
        <v>226</v>
      </c>
      <c r="C60">
        <v>1</v>
      </c>
      <c r="D60" s="24">
        <v>1862.9</v>
      </c>
    </row>
    <row r="61" spans="1:4">
      <c r="A61" t="s">
        <v>9</v>
      </c>
      <c r="B61" t="s">
        <v>86</v>
      </c>
      <c r="C61">
        <v>0</v>
      </c>
      <c r="D61" s="24">
        <v>454.1</v>
      </c>
    </row>
    <row r="62" spans="1:4">
      <c r="A62" t="s">
        <v>9</v>
      </c>
      <c r="B62" t="s">
        <v>87</v>
      </c>
      <c r="C62">
        <v>0</v>
      </c>
      <c r="D62" s="24">
        <v>354.1</v>
      </c>
    </row>
    <row r="63" spans="1:4">
      <c r="A63" t="s">
        <v>9</v>
      </c>
      <c r="B63" t="s">
        <v>85</v>
      </c>
      <c r="C63">
        <v>1</v>
      </c>
      <c r="D63" s="24">
        <v>2030.3</v>
      </c>
    </row>
    <row r="64" spans="1:4">
      <c r="A64" t="s">
        <v>9</v>
      </c>
      <c r="B64" t="s">
        <v>84</v>
      </c>
      <c r="C64">
        <v>1</v>
      </c>
      <c r="D64" s="24">
        <v>230.5</v>
      </c>
    </row>
    <row r="65" spans="1:4">
      <c r="A65" t="s">
        <v>9</v>
      </c>
      <c r="B65" t="s">
        <v>83</v>
      </c>
      <c r="C65">
        <v>1</v>
      </c>
      <c r="D65" s="24">
        <v>2950.3</v>
      </c>
    </row>
    <row r="66" spans="1:4">
      <c r="A66" t="s">
        <v>9</v>
      </c>
      <c r="B66" t="s">
        <v>88</v>
      </c>
      <c r="C66">
        <v>0</v>
      </c>
      <c r="D66" s="24">
        <v>220.5</v>
      </c>
    </row>
    <row r="67" spans="1:4">
      <c r="A67" t="s">
        <v>9</v>
      </c>
      <c r="B67" t="s">
        <v>89</v>
      </c>
      <c r="C67">
        <v>0</v>
      </c>
      <c r="D67" s="24">
        <v>325.8</v>
      </c>
    </row>
    <row r="68" spans="1:4">
      <c r="A68" t="s">
        <v>10</v>
      </c>
      <c r="B68" t="s">
        <v>98</v>
      </c>
      <c r="C68">
        <v>0</v>
      </c>
      <c r="D68" s="24">
        <v>578.42999999999995</v>
      </c>
    </row>
    <row r="69" spans="1:4">
      <c r="A69" t="s">
        <v>10</v>
      </c>
      <c r="B69" t="s">
        <v>90</v>
      </c>
      <c r="C69">
        <v>1</v>
      </c>
      <c r="D69" s="24">
        <v>1705.82</v>
      </c>
    </row>
    <row r="70" spans="1:4">
      <c r="A70" t="s">
        <v>10</v>
      </c>
      <c r="B70" t="s">
        <v>93</v>
      </c>
      <c r="C70">
        <v>0</v>
      </c>
      <c r="D70" s="24">
        <v>353.64</v>
      </c>
    </row>
    <row r="71" spans="1:4">
      <c r="A71" t="s">
        <v>10</v>
      </c>
      <c r="B71" t="s">
        <v>92</v>
      </c>
      <c r="C71">
        <v>0</v>
      </c>
      <c r="D71" s="24">
        <v>758.12</v>
      </c>
    </row>
    <row r="72" spans="1:4">
      <c r="A72" t="s">
        <v>10</v>
      </c>
      <c r="B72" t="s">
        <v>96</v>
      </c>
      <c r="C72">
        <v>0</v>
      </c>
      <c r="D72" s="24">
        <v>471</v>
      </c>
    </row>
    <row r="73" spans="1:4">
      <c r="A73" t="s">
        <v>10</v>
      </c>
      <c r="B73" t="s">
        <v>97</v>
      </c>
      <c r="C73">
        <v>0</v>
      </c>
      <c r="D73" s="24">
        <v>502.86</v>
      </c>
    </row>
    <row r="74" spans="1:4">
      <c r="A74" t="s">
        <v>10</v>
      </c>
      <c r="B74" t="s">
        <v>94</v>
      </c>
      <c r="C74">
        <v>0</v>
      </c>
      <c r="D74" s="24">
        <v>449.31</v>
      </c>
    </row>
    <row r="75" spans="1:4">
      <c r="A75" t="s">
        <v>10</v>
      </c>
      <c r="B75" t="s">
        <v>91</v>
      </c>
      <c r="C75">
        <v>1</v>
      </c>
      <c r="D75" s="24">
        <v>1367.78</v>
      </c>
    </row>
    <row r="76" spans="1:4">
      <c r="A76" t="s">
        <v>10</v>
      </c>
      <c r="B76" t="s">
        <v>95</v>
      </c>
      <c r="C76">
        <v>0</v>
      </c>
      <c r="D76" s="24">
        <v>505.83</v>
      </c>
    </row>
    <row r="77" spans="1:4">
      <c r="A77" t="s">
        <v>11</v>
      </c>
      <c r="B77" t="s">
        <v>127</v>
      </c>
      <c r="C77">
        <v>1</v>
      </c>
      <c r="D77" s="25">
        <v>493.46</v>
      </c>
    </row>
    <row r="78" spans="1:4">
      <c r="A78" t="s">
        <v>11</v>
      </c>
      <c r="B78" t="s">
        <v>126</v>
      </c>
      <c r="C78">
        <v>0</v>
      </c>
      <c r="D78" s="25">
        <v>297.68</v>
      </c>
    </row>
    <row r="79" spans="1:4">
      <c r="A79" t="s">
        <v>11</v>
      </c>
      <c r="B79" t="s">
        <v>124</v>
      </c>
      <c r="C79">
        <v>0</v>
      </c>
      <c r="D79" s="25">
        <v>655.66</v>
      </c>
    </row>
    <row r="80" spans="1:4">
      <c r="A80" t="s">
        <v>11</v>
      </c>
      <c r="B80" t="s">
        <v>129</v>
      </c>
      <c r="C80">
        <v>1</v>
      </c>
      <c r="D80" s="25">
        <v>609.77</v>
      </c>
    </row>
    <row r="81" spans="1:4">
      <c r="A81" t="s">
        <v>11</v>
      </c>
      <c r="B81" t="s">
        <v>123</v>
      </c>
      <c r="C81">
        <v>0</v>
      </c>
      <c r="D81" s="25">
        <v>403.98</v>
      </c>
    </row>
    <row r="82" spans="1:4">
      <c r="A82" t="s">
        <v>11</v>
      </c>
      <c r="B82" t="s">
        <v>122</v>
      </c>
      <c r="C82">
        <v>0</v>
      </c>
      <c r="D82" s="25">
        <v>321.17</v>
      </c>
    </row>
    <row r="83" spans="1:4">
      <c r="A83" t="s">
        <v>11</v>
      </c>
      <c r="B83" t="s">
        <v>125</v>
      </c>
      <c r="C83">
        <v>0</v>
      </c>
      <c r="D83" s="25">
        <v>229.83</v>
      </c>
    </row>
    <row r="84" spans="1:4">
      <c r="A84" t="s">
        <v>11</v>
      </c>
      <c r="B84" t="s">
        <v>128</v>
      </c>
      <c r="C84">
        <v>1</v>
      </c>
      <c r="D84" s="25">
        <v>270.37</v>
      </c>
    </row>
    <row r="85" spans="1:4">
      <c r="A85" t="s">
        <v>11</v>
      </c>
      <c r="B85" t="s">
        <v>167</v>
      </c>
      <c r="C85">
        <v>1</v>
      </c>
      <c r="D85" s="25">
        <v>419.04</v>
      </c>
    </row>
    <row r="86" spans="1:4">
      <c r="A86" t="s">
        <v>12</v>
      </c>
      <c r="B86" t="s">
        <v>78</v>
      </c>
      <c r="C86">
        <v>0</v>
      </c>
      <c r="D86" s="24">
        <v>632</v>
      </c>
    </row>
    <row r="87" spans="1:4">
      <c r="A87" t="s">
        <v>12</v>
      </c>
      <c r="B87" t="s">
        <v>81</v>
      </c>
      <c r="C87">
        <v>1</v>
      </c>
      <c r="D87" s="24">
        <v>1521.1</v>
      </c>
    </row>
    <row r="88" spans="1:4">
      <c r="A88" t="s">
        <v>12</v>
      </c>
      <c r="B88" t="s">
        <v>79</v>
      </c>
      <c r="C88">
        <v>0</v>
      </c>
      <c r="D88" s="24">
        <v>677.5</v>
      </c>
    </row>
    <row r="89" spans="1:4">
      <c r="A89" t="s">
        <v>12</v>
      </c>
      <c r="B89" t="s">
        <v>80</v>
      </c>
      <c r="C89">
        <v>0</v>
      </c>
      <c r="D89" s="24">
        <v>534.6</v>
      </c>
    </row>
    <row r="90" spans="1:4">
      <c r="A90" t="s">
        <v>12</v>
      </c>
      <c r="B90" t="s">
        <v>77</v>
      </c>
      <c r="C90">
        <v>0</v>
      </c>
      <c r="D90" s="24">
        <v>561</v>
      </c>
    </row>
    <row r="91" spans="1:4">
      <c r="A91" t="s">
        <v>12</v>
      </c>
      <c r="B91" t="s">
        <v>82</v>
      </c>
      <c r="C91">
        <v>1</v>
      </c>
      <c r="D91" s="24">
        <v>594.29999999999995</v>
      </c>
    </row>
    <row r="92" spans="1:4">
      <c r="A92" t="s">
        <v>13</v>
      </c>
      <c r="B92" t="s">
        <v>132</v>
      </c>
      <c r="C92">
        <v>0.5</v>
      </c>
      <c r="D92" s="24">
        <v>1051.96</v>
      </c>
    </row>
    <row r="93" spans="1:4">
      <c r="A93" t="s">
        <v>13</v>
      </c>
      <c r="B93" t="s">
        <v>133</v>
      </c>
      <c r="C93">
        <v>0</v>
      </c>
      <c r="D93" s="24">
        <v>1023.32</v>
      </c>
    </row>
    <row r="94" spans="1:4">
      <c r="A94" t="s">
        <v>13</v>
      </c>
      <c r="B94" t="s">
        <v>130</v>
      </c>
      <c r="C94">
        <v>1</v>
      </c>
      <c r="D94" s="24">
        <v>301.23</v>
      </c>
    </row>
    <row r="95" spans="1:4">
      <c r="A95" t="s">
        <v>13</v>
      </c>
      <c r="B95" t="s">
        <v>135</v>
      </c>
      <c r="C95">
        <v>0</v>
      </c>
      <c r="D95" s="24">
        <v>446.74</v>
      </c>
    </row>
    <row r="96" spans="1:4">
      <c r="A96" t="s">
        <v>13</v>
      </c>
      <c r="B96" t="s">
        <v>134</v>
      </c>
      <c r="C96">
        <v>0</v>
      </c>
      <c r="D96" s="24">
        <v>576</v>
      </c>
    </row>
    <row r="97" spans="1:4">
      <c r="A97" t="s">
        <v>13</v>
      </c>
      <c r="B97" t="s">
        <v>131</v>
      </c>
      <c r="C97">
        <v>1</v>
      </c>
      <c r="D97" s="24">
        <v>523.66999999999996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86F0-E0B1-B84E-AC87-67C932DF0046}">
  <dimension ref="A1:E98"/>
  <sheetViews>
    <sheetView zoomScale="200" workbookViewId="0">
      <selection activeCell="B1" sqref="B1"/>
    </sheetView>
  </sheetViews>
  <sheetFormatPr baseColWidth="10" defaultRowHeight="16"/>
  <sheetData>
    <row r="1" spans="1:5">
      <c r="B1" t="s">
        <v>188</v>
      </c>
      <c r="E1" t="s">
        <v>189</v>
      </c>
    </row>
    <row r="2" spans="1:5">
      <c r="A2" t="s">
        <v>193</v>
      </c>
      <c r="B2" s="23" t="s">
        <v>190</v>
      </c>
      <c r="C2" s="23" t="s">
        <v>191</v>
      </c>
      <c r="D2" s="23" t="s">
        <v>192</v>
      </c>
    </row>
    <row r="3" spans="1:5">
      <c r="A3" t="s">
        <v>0</v>
      </c>
      <c r="B3" t="s">
        <v>99</v>
      </c>
      <c r="C3">
        <v>28.6</v>
      </c>
      <c r="D3" s="26">
        <v>0.78</v>
      </c>
    </row>
    <row r="4" spans="1:5">
      <c r="A4" t="s">
        <v>0</v>
      </c>
      <c r="B4" t="s">
        <v>100</v>
      </c>
      <c r="C4">
        <v>34.200000000000003</v>
      </c>
      <c r="D4" s="26">
        <v>0.84299999999999997</v>
      </c>
    </row>
    <row r="5" spans="1:5">
      <c r="A5" t="s">
        <v>0</v>
      </c>
      <c r="B5" t="s">
        <v>101</v>
      </c>
      <c r="C5">
        <v>45.5</v>
      </c>
      <c r="D5" s="26">
        <v>0.69099999999999995</v>
      </c>
    </row>
    <row r="6" spans="1:5">
      <c r="A6" t="s">
        <v>0</v>
      </c>
      <c r="B6" t="s">
        <v>102</v>
      </c>
      <c r="C6">
        <v>41</v>
      </c>
      <c r="D6" s="26">
        <v>0.83499999999999996</v>
      </c>
    </row>
    <row r="7" spans="1:5">
      <c r="A7" t="s">
        <v>0</v>
      </c>
      <c r="B7" t="s">
        <v>104</v>
      </c>
      <c r="C7">
        <v>182.3</v>
      </c>
      <c r="D7" s="26">
        <v>0.20599999999999999</v>
      </c>
    </row>
    <row r="8" spans="1:5">
      <c r="A8" t="s">
        <v>0</v>
      </c>
      <c r="B8" t="s">
        <v>105</v>
      </c>
      <c r="C8">
        <v>149.80000000000001</v>
      </c>
      <c r="D8" s="26">
        <v>0.23</v>
      </c>
    </row>
    <row r="9" spans="1:5">
      <c r="A9" t="s">
        <v>0</v>
      </c>
      <c r="B9" t="s">
        <v>106</v>
      </c>
      <c r="C9">
        <v>63.1</v>
      </c>
      <c r="D9" s="26">
        <v>0.29499999999999998</v>
      </c>
    </row>
    <row r="10" spans="1:5">
      <c r="A10" t="s">
        <v>0</v>
      </c>
      <c r="B10" t="s">
        <v>107</v>
      </c>
      <c r="C10">
        <v>217.4</v>
      </c>
      <c r="D10" s="26">
        <v>0.14799999999999999</v>
      </c>
    </row>
    <row r="11" spans="1:5">
      <c r="A11" t="s">
        <v>0</v>
      </c>
      <c r="B11" t="s">
        <v>108</v>
      </c>
      <c r="C11">
        <v>161.9</v>
      </c>
      <c r="D11" s="26">
        <v>9.8000000000000004E-2</v>
      </c>
    </row>
    <row r="12" spans="1:5">
      <c r="A12" t="s">
        <v>0</v>
      </c>
      <c r="B12" t="s">
        <v>109</v>
      </c>
      <c r="C12">
        <v>47.3</v>
      </c>
      <c r="D12" s="26">
        <v>7.1999999999999995E-2</v>
      </c>
    </row>
    <row r="13" spans="1:5">
      <c r="A13" t="s">
        <v>0</v>
      </c>
      <c r="B13" t="s">
        <v>110</v>
      </c>
      <c r="C13">
        <v>36.6</v>
      </c>
      <c r="D13" s="26">
        <v>6.7000000000000004E-2</v>
      </c>
    </row>
    <row r="14" spans="1:5">
      <c r="A14" t="s">
        <v>2</v>
      </c>
      <c r="B14" t="s">
        <v>194</v>
      </c>
      <c r="C14">
        <v>46</v>
      </c>
      <c r="D14" s="26">
        <v>0.61399999999999999</v>
      </c>
    </row>
    <row r="15" spans="1:5">
      <c r="A15" t="s">
        <v>2</v>
      </c>
      <c r="B15" t="s">
        <v>195</v>
      </c>
      <c r="C15">
        <v>30.9</v>
      </c>
      <c r="D15" s="26">
        <v>0.58599999999999997</v>
      </c>
    </row>
    <row r="16" spans="1:5">
      <c r="A16" t="s">
        <v>2</v>
      </c>
      <c r="B16" t="s">
        <v>162</v>
      </c>
      <c r="C16">
        <v>68.5</v>
      </c>
      <c r="D16" s="26">
        <v>7.0999999999999994E-2</v>
      </c>
    </row>
    <row r="17" spans="1:4">
      <c r="A17" t="s">
        <v>2</v>
      </c>
      <c r="B17" t="s">
        <v>196</v>
      </c>
      <c r="C17">
        <v>45.7</v>
      </c>
      <c r="D17" s="26">
        <v>0.03</v>
      </c>
    </row>
    <row r="18" spans="1:4">
      <c r="A18" t="s">
        <v>2</v>
      </c>
      <c r="B18" t="s">
        <v>197</v>
      </c>
      <c r="C18">
        <v>78</v>
      </c>
      <c r="D18" s="26">
        <v>7.0000000000000007E-2</v>
      </c>
    </row>
    <row r="19" spans="1:4">
      <c r="A19" t="s">
        <v>2</v>
      </c>
      <c r="B19" t="s">
        <v>198</v>
      </c>
      <c r="C19">
        <v>67.7</v>
      </c>
      <c r="D19" s="26">
        <v>0.05</v>
      </c>
    </row>
    <row r="20" spans="1:4">
      <c r="A20" t="s">
        <v>2</v>
      </c>
      <c r="B20" t="s">
        <v>199</v>
      </c>
      <c r="C20">
        <v>92.3</v>
      </c>
      <c r="D20" s="26">
        <v>7.4999999999999997E-2</v>
      </c>
    </row>
    <row r="21" spans="1:4">
      <c r="A21" t="s">
        <v>2</v>
      </c>
      <c r="B21" t="s">
        <v>200</v>
      </c>
      <c r="C21">
        <v>84.1</v>
      </c>
      <c r="D21" s="26">
        <v>9.2999999999999999E-2</v>
      </c>
    </row>
    <row r="22" spans="1:4">
      <c r="A22" t="s">
        <v>4</v>
      </c>
      <c r="B22" t="s">
        <v>201</v>
      </c>
      <c r="C22">
        <v>25.3</v>
      </c>
      <c r="D22" s="26">
        <v>0.54100000000000004</v>
      </c>
    </row>
    <row r="23" spans="1:4">
      <c r="A23" t="s">
        <v>4</v>
      </c>
      <c r="B23" t="s">
        <v>202</v>
      </c>
      <c r="C23">
        <v>27.5</v>
      </c>
      <c r="D23" s="26">
        <v>0.63400000000000001</v>
      </c>
    </row>
    <row r="24" spans="1:4">
      <c r="A24" t="s">
        <v>4</v>
      </c>
      <c r="B24" t="s">
        <v>203</v>
      </c>
      <c r="C24">
        <v>57.1</v>
      </c>
      <c r="D24" s="26">
        <v>0.34499999999999997</v>
      </c>
    </row>
    <row r="25" spans="1:4">
      <c r="A25" t="s">
        <v>4</v>
      </c>
      <c r="B25" t="s">
        <v>204</v>
      </c>
      <c r="C25">
        <v>118.4</v>
      </c>
      <c r="D25" s="26">
        <v>0.13300000000000001</v>
      </c>
    </row>
    <row r="26" spans="1:4">
      <c r="A26" t="s">
        <v>4</v>
      </c>
      <c r="B26" t="s">
        <v>205</v>
      </c>
      <c r="C26">
        <v>45.9</v>
      </c>
      <c r="D26" s="26">
        <v>9.4E-2</v>
      </c>
    </row>
    <row r="27" spans="1:4">
      <c r="A27" t="s">
        <v>4</v>
      </c>
      <c r="B27" t="s">
        <v>206</v>
      </c>
      <c r="C27">
        <v>55.8</v>
      </c>
      <c r="D27" s="26">
        <v>5.1999999999999998E-2</v>
      </c>
    </row>
    <row r="28" spans="1:4">
      <c r="A28" t="s">
        <v>5</v>
      </c>
      <c r="B28" t="s">
        <v>207</v>
      </c>
      <c r="C28">
        <v>41.5</v>
      </c>
      <c r="D28" s="26">
        <v>3.9E-2</v>
      </c>
    </row>
    <row r="29" spans="1:4">
      <c r="A29" t="s">
        <v>5</v>
      </c>
      <c r="B29" t="s">
        <v>208</v>
      </c>
      <c r="C29">
        <v>48.9</v>
      </c>
      <c r="D29" s="26">
        <v>0.04</v>
      </c>
    </row>
    <row r="30" spans="1:4">
      <c r="A30" t="s">
        <v>5</v>
      </c>
      <c r="B30" t="s">
        <v>209</v>
      </c>
      <c r="C30">
        <v>44.6</v>
      </c>
      <c r="D30" s="26">
        <v>2.8000000000000001E-2</v>
      </c>
    </row>
    <row r="31" spans="1:4">
      <c r="A31" t="s">
        <v>5</v>
      </c>
      <c r="B31" t="s">
        <v>210</v>
      </c>
      <c r="C31">
        <v>79.8</v>
      </c>
      <c r="D31" s="26">
        <v>5.2999999999999999E-2</v>
      </c>
    </row>
    <row r="32" spans="1:4">
      <c r="A32" t="s">
        <v>5</v>
      </c>
      <c r="B32" t="s">
        <v>211</v>
      </c>
      <c r="C32">
        <v>48</v>
      </c>
      <c r="D32" s="26">
        <v>3.9E-2</v>
      </c>
    </row>
    <row r="33" spans="1:4">
      <c r="A33" t="s">
        <v>5</v>
      </c>
      <c r="B33" t="s">
        <v>212</v>
      </c>
      <c r="C33">
        <v>69.7</v>
      </c>
      <c r="D33" s="26">
        <v>0.05</v>
      </c>
    </row>
    <row r="34" spans="1:4">
      <c r="A34" t="s">
        <v>5</v>
      </c>
      <c r="B34" t="s">
        <v>213</v>
      </c>
      <c r="C34">
        <v>32.9</v>
      </c>
      <c r="D34" s="26">
        <v>0.06</v>
      </c>
    </row>
    <row r="35" spans="1:4">
      <c r="A35" t="s">
        <v>5</v>
      </c>
      <c r="B35" t="s">
        <v>163</v>
      </c>
      <c r="C35">
        <v>33.5</v>
      </c>
      <c r="D35" s="26">
        <v>0.23699999999999999</v>
      </c>
    </row>
    <row r="36" spans="1:4">
      <c r="A36" t="s">
        <v>5</v>
      </c>
      <c r="B36" t="s">
        <v>102</v>
      </c>
      <c r="C36">
        <v>24.2</v>
      </c>
      <c r="D36" s="26">
        <v>0.55100000000000005</v>
      </c>
    </row>
    <row r="37" spans="1:4">
      <c r="A37" t="s">
        <v>5</v>
      </c>
      <c r="B37" t="s">
        <v>164</v>
      </c>
      <c r="C37">
        <v>22.1</v>
      </c>
      <c r="D37" s="26">
        <v>0.52300000000000002</v>
      </c>
    </row>
    <row r="38" spans="1:4">
      <c r="A38" t="s">
        <v>6</v>
      </c>
      <c r="B38" t="s">
        <v>214</v>
      </c>
      <c r="C38">
        <v>33.200000000000003</v>
      </c>
      <c r="D38" s="26">
        <v>0.41499999999999998</v>
      </c>
    </row>
    <row r="39" spans="1:4">
      <c r="A39" t="s">
        <v>6</v>
      </c>
      <c r="B39" t="s">
        <v>215</v>
      </c>
      <c r="C39">
        <v>45.7</v>
      </c>
      <c r="D39" s="26">
        <v>0.28100000000000003</v>
      </c>
    </row>
    <row r="40" spans="1:4">
      <c r="A40" t="s">
        <v>6</v>
      </c>
      <c r="B40" t="s">
        <v>216</v>
      </c>
      <c r="C40">
        <v>38.5</v>
      </c>
      <c r="D40" s="26">
        <v>8.8999999999999996E-2</v>
      </c>
    </row>
    <row r="41" spans="1:4">
      <c r="A41" t="s">
        <v>6</v>
      </c>
      <c r="B41" t="s">
        <v>217</v>
      </c>
      <c r="C41">
        <v>39.299999999999997</v>
      </c>
      <c r="D41" s="26">
        <v>6.4000000000000001E-2</v>
      </c>
    </row>
    <row r="42" spans="1:4">
      <c r="A42" t="s">
        <v>6</v>
      </c>
      <c r="B42" t="s">
        <v>218</v>
      </c>
      <c r="C42">
        <v>49.2</v>
      </c>
      <c r="D42" s="26">
        <v>5.8000000000000003E-2</v>
      </c>
    </row>
    <row r="43" spans="1:4">
      <c r="A43" t="s">
        <v>6</v>
      </c>
      <c r="B43" t="s">
        <v>219</v>
      </c>
      <c r="C43">
        <v>27.2</v>
      </c>
      <c r="D43" s="26">
        <v>3.1E-2</v>
      </c>
    </row>
    <row r="44" spans="1:4">
      <c r="A44" t="s">
        <v>7</v>
      </c>
      <c r="B44" t="s">
        <v>220</v>
      </c>
      <c r="C44">
        <v>35.4</v>
      </c>
      <c r="D44" s="26">
        <v>0.82399999999999995</v>
      </c>
    </row>
    <row r="45" spans="1:4">
      <c r="A45" t="s">
        <v>7</v>
      </c>
      <c r="B45" t="s">
        <v>221</v>
      </c>
      <c r="C45">
        <v>63.2</v>
      </c>
      <c r="D45" s="26">
        <v>0.22</v>
      </c>
    </row>
    <row r="46" spans="1:4">
      <c r="A46" t="s">
        <v>7</v>
      </c>
      <c r="B46" t="s">
        <v>222</v>
      </c>
      <c r="C46">
        <v>39.6</v>
      </c>
      <c r="D46" s="26">
        <v>0.124</v>
      </c>
    </row>
    <row r="47" spans="1:4">
      <c r="A47" t="s">
        <v>7</v>
      </c>
      <c r="B47" t="s">
        <v>223</v>
      </c>
      <c r="C47">
        <v>49.4</v>
      </c>
      <c r="D47" s="26">
        <v>0.252</v>
      </c>
    </row>
    <row r="48" spans="1:4">
      <c r="A48" t="s">
        <v>7</v>
      </c>
      <c r="B48" t="s">
        <v>224</v>
      </c>
      <c r="C48">
        <v>51.6</v>
      </c>
      <c r="D48" s="26">
        <v>0.315</v>
      </c>
    </row>
    <row r="49" spans="1:4">
      <c r="A49" t="s">
        <v>7</v>
      </c>
      <c r="B49" t="s">
        <v>166</v>
      </c>
      <c r="C49">
        <v>108.8</v>
      </c>
      <c r="D49" s="26">
        <v>0.14000000000000001</v>
      </c>
    </row>
    <row r="50" spans="1:4">
      <c r="A50" t="s">
        <v>7</v>
      </c>
      <c r="B50" t="s">
        <v>165</v>
      </c>
      <c r="C50">
        <v>66.2</v>
      </c>
      <c r="D50" s="26">
        <v>5.8999999999999997E-2</v>
      </c>
    </row>
    <row r="51" spans="1:4">
      <c r="A51" t="s">
        <v>8</v>
      </c>
      <c r="B51" t="s">
        <v>225</v>
      </c>
      <c r="C51">
        <v>27.6</v>
      </c>
      <c r="D51" s="26">
        <v>0.45300000000000001</v>
      </c>
    </row>
    <row r="52" spans="1:4">
      <c r="A52" t="s">
        <v>8</v>
      </c>
      <c r="B52" t="s">
        <v>226</v>
      </c>
      <c r="C52">
        <v>19.2</v>
      </c>
      <c r="D52" s="26">
        <v>0.314</v>
      </c>
    </row>
    <row r="53" spans="1:4">
      <c r="A53" t="s">
        <v>8</v>
      </c>
      <c r="B53" t="s">
        <v>227</v>
      </c>
      <c r="C53">
        <v>43</v>
      </c>
      <c r="D53" s="26">
        <v>4.2999999999999997E-2</v>
      </c>
    </row>
    <row r="54" spans="1:4">
      <c r="A54" t="s">
        <v>8</v>
      </c>
      <c r="B54" t="s">
        <v>228</v>
      </c>
      <c r="C54">
        <v>40.4</v>
      </c>
      <c r="D54" s="26">
        <v>8.2000000000000003E-2</v>
      </c>
    </row>
    <row r="55" spans="1:4">
      <c r="A55" t="s">
        <v>8</v>
      </c>
      <c r="B55" t="s">
        <v>229</v>
      </c>
      <c r="C55">
        <v>44.2</v>
      </c>
      <c r="D55" s="26">
        <v>6.7000000000000004E-2</v>
      </c>
    </row>
    <row r="56" spans="1:4">
      <c r="A56" t="s">
        <v>8</v>
      </c>
      <c r="B56" t="s">
        <v>230</v>
      </c>
      <c r="C56">
        <v>41.7</v>
      </c>
      <c r="D56" s="26">
        <v>4.2999999999999997E-2</v>
      </c>
    </row>
    <row r="57" spans="1:4">
      <c r="A57" t="s">
        <v>9</v>
      </c>
      <c r="B57" t="s">
        <v>83</v>
      </c>
      <c r="C57">
        <v>45.9</v>
      </c>
      <c r="D57" s="26">
        <v>0.23599999999999999</v>
      </c>
    </row>
    <row r="58" spans="1:4">
      <c r="A58" t="s">
        <v>9</v>
      </c>
      <c r="B58" t="s">
        <v>84</v>
      </c>
      <c r="C58">
        <v>40.200000000000003</v>
      </c>
      <c r="D58" s="26">
        <v>0.13400000000000001</v>
      </c>
    </row>
    <row r="59" spans="1:4">
      <c r="A59" t="s">
        <v>9</v>
      </c>
      <c r="B59" t="s">
        <v>85</v>
      </c>
      <c r="C59">
        <v>34.1</v>
      </c>
      <c r="D59" s="26">
        <v>8.5000000000000006E-2</v>
      </c>
    </row>
    <row r="60" spans="1:4">
      <c r="A60" t="s">
        <v>9</v>
      </c>
      <c r="B60" t="s">
        <v>86</v>
      </c>
      <c r="C60">
        <v>26.8</v>
      </c>
      <c r="D60" s="26">
        <v>7.2999999999999995E-2</v>
      </c>
    </row>
    <row r="61" spans="1:4">
      <c r="A61" t="s">
        <v>9</v>
      </c>
      <c r="B61" t="s">
        <v>87</v>
      </c>
      <c r="C61">
        <v>28.7</v>
      </c>
      <c r="D61" s="26">
        <v>2.7E-2</v>
      </c>
    </row>
    <row r="62" spans="1:4">
      <c r="A62" t="s">
        <v>9</v>
      </c>
      <c r="B62" t="s">
        <v>88</v>
      </c>
      <c r="C62">
        <v>23.4</v>
      </c>
      <c r="D62" s="26">
        <v>2.1000000000000001E-2</v>
      </c>
    </row>
    <row r="63" spans="1:4">
      <c r="A63" t="s">
        <v>9</v>
      </c>
      <c r="B63" t="s">
        <v>89</v>
      </c>
      <c r="C63">
        <v>18.5</v>
      </c>
      <c r="D63" s="26">
        <v>3.1E-2</v>
      </c>
    </row>
    <row r="64" spans="1:4">
      <c r="A64" t="s">
        <v>10</v>
      </c>
      <c r="B64" t="s">
        <v>90</v>
      </c>
      <c r="C64">
        <v>43.9</v>
      </c>
      <c r="D64" s="26">
        <v>0.21199999999999999</v>
      </c>
    </row>
    <row r="65" spans="1:4">
      <c r="A65" t="s">
        <v>10</v>
      </c>
      <c r="B65" t="s">
        <v>91</v>
      </c>
      <c r="C65">
        <v>41.4</v>
      </c>
      <c r="D65" s="26">
        <v>0.152</v>
      </c>
    </row>
    <row r="66" spans="1:4">
      <c r="A66" t="s">
        <v>10</v>
      </c>
      <c r="B66" t="s">
        <v>92</v>
      </c>
      <c r="C66">
        <v>52.6</v>
      </c>
      <c r="D66" s="26">
        <v>0.08</v>
      </c>
    </row>
    <row r="67" spans="1:4">
      <c r="A67" t="s">
        <v>10</v>
      </c>
      <c r="B67" t="s">
        <v>93</v>
      </c>
      <c r="C67">
        <v>27.1</v>
      </c>
      <c r="D67" s="26">
        <v>3.4000000000000002E-2</v>
      </c>
    </row>
    <row r="68" spans="1:4">
      <c r="A68" t="s">
        <v>10</v>
      </c>
      <c r="B68" t="s">
        <v>94</v>
      </c>
      <c r="C68">
        <v>34.4</v>
      </c>
      <c r="D68" s="26">
        <v>3.4000000000000002E-2</v>
      </c>
    </row>
    <row r="69" spans="1:4">
      <c r="A69" t="s">
        <v>10</v>
      </c>
      <c r="B69" t="s">
        <v>95</v>
      </c>
      <c r="C69">
        <v>31.6</v>
      </c>
      <c r="D69" s="26">
        <v>2.4E-2</v>
      </c>
    </row>
    <row r="70" spans="1:4">
      <c r="A70" t="s">
        <v>10</v>
      </c>
      <c r="B70" t="s">
        <v>96</v>
      </c>
      <c r="C70">
        <v>36.6</v>
      </c>
      <c r="D70" s="26">
        <v>2.9000000000000001E-2</v>
      </c>
    </row>
    <row r="71" spans="1:4">
      <c r="A71" t="s">
        <v>10</v>
      </c>
      <c r="B71" t="s">
        <v>97</v>
      </c>
      <c r="C71">
        <v>32.1</v>
      </c>
      <c r="D71" s="26">
        <v>3.7999999999999999E-2</v>
      </c>
    </row>
    <row r="72" spans="1:4">
      <c r="A72" t="s">
        <v>10</v>
      </c>
      <c r="B72" t="s">
        <v>98</v>
      </c>
      <c r="C72">
        <v>48.3</v>
      </c>
      <c r="D72" s="26">
        <v>4.1000000000000002E-2</v>
      </c>
    </row>
    <row r="73" spans="1:4">
      <c r="A73" t="s">
        <v>11</v>
      </c>
      <c r="B73" t="s">
        <v>122</v>
      </c>
      <c r="C73">
        <v>74.599999999999994</v>
      </c>
      <c r="D73" s="26">
        <v>0.108</v>
      </c>
    </row>
    <row r="74" spans="1:4">
      <c r="A74" t="s">
        <v>11</v>
      </c>
      <c r="B74" t="s">
        <v>123</v>
      </c>
      <c r="C74">
        <v>88.2</v>
      </c>
      <c r="D74" s="26">
        <v>0.1</v>
      </c>
    </row>
    <row r="75" spans="1:4">
      <c r="A75" t="s">
        <v>11</v>
      </c>
      <c r="B75" t="s">
        <v>124</v>
      </c>
      <c r="C75">
        <v>67.3</v>
      </c>
      <c r="D75" s="26">
        <v>0.10299999999999999</v>
      </c>
    </row>
    <row r="76" spans="1:4">
      <c r="A76" t="s">
        <v>11</v>
      </c>
      <c r="B76" t="s">
        <v>125</v>
      </c>
      <c r="C76">
        <v>110</v>
      </c>
      <c r="D76" s="26">
        <v>0.184</v>
      </c>
    </row>
    <row r="77" spans="1:4">
      <c r="A77" t="s">
        <v>11</v>
      </c>
      <c r="B77" t="s">
        <v>126</v>
      </c>
      <c r="C77">
        <v>65.099999999999994</v>
      </c>
      <c r="D77" s="26">
        <v>0.13400000000000001</v>
      </c>
    </row>
    <row r="78" spans="1:4">
      <c r="A78" t="s">
        <v>11</v>
      </c>
      <c r="B78" t="s">
        <v>127</v>
      </c>
      <c r="C78">
        <v>76</v>
      </c>
      <c r="D78" s="26">
        <v>0.125</v>
      </c>
    </row>
    <row r="79" spans="1:4">
      <c r="A79" t="s">
        <v>11</v>
      </c>
      <c r="B79" t="s">
        <v>128</v>
      </c>
      <c r="C79">
        <v>54.3</v>
      </c>
      <c r="D79" s="26">
        <v>0.16600000000000001</v>
      </c>
    </row>
    <row r="80" spans="1:4">
      <c r="A80" t="s">
        <v>11</v>
      </c>
      <c r="B80" t="s">
        <v>129</v>
      </c>
      <c r="C80">
        <v>25.7</v>
      </c>
      <c r="D80" s="26">
        <v>0.70799999999999996</v>
      </c>
    </row>
    <row r="81" spans="1:4">
      <c r="A81" t="s">
        <v>11</v>
      </c>
      <c r="B81" t="s">
        <v>167</v>
      </c>
      <c r="C81">
        <v>38.9</v>
      </c>
      <c r="D81" s="26">
        <v>0.221</v>
      </c>
    </row>
    <row r="82" spans="1:4">
      <c r="A82" t="s">
        <v>12</v>
      </c>
      <c r="B82" t="s">
        <v>77</v>
      </c>
      <c r="C82">
        <v>39.9</v>
      </c>
      <c r="D82" s="26">
        <v>5.5E-2</v>
      </c>
    </row>
    <row r="83" spans="1:4">
      <c r="A83" t="s">
        <v>12</v>
      </c>
      <c r="B83" t="s">
        <v>78</v>
      </c>
      <c r="C83">
        <v>36.5</v>
      </c>
      <c r="D83" s="26">
        <v>3.7999999999999999E-2</v>
      </c>
    </row>
    <row r="84" spans="1:4">
      <c r="A84" t="s">
        <v>12</v>
      </c>
      <c r="B84" t="s">
        <v>79</v>
      </c>
      <c r="C84">
        <v>28.7</v>
      </c>
      <c r="D84" s="26">
        <v>2.7E-2</v>
      </c>
    </row>
    <row r="85" spans="1:4">
      <c r="A85" t="s">
        <v>12</v>
      </c>
      <c r="B85" t="s">
        <v>80</v>
      </c>
      <c r="C85">
        <v>25.2</v>
      </c>
      <c r="D85" s="26">
        <v>3.2000000000000001E-2</v>
      </c>
    </row>
    <row r="86" spans="1:4">
      <c r="A86" t="s">
        <v>12</v>
      </c>
      <c r="B86" t="s">
        <v>81</v>
      </c>
      <c r="C86">
        <v>37.1</v>
      </c>
      <c r="D86" s="26">
        <v>0.17</v>
      </c>
    </row>
    <row r="87" spans="1:4">
      <c r="A87" t="s">
        <v>12</v>
      </c>
      <c r="B87" t="s">
        <v>82</v>
      </c>
      <c r="C87">
        <v>21.3</v>
      </c>
      <c r="D87" s="26">
        <v>0.13700000000000001</v>
      </c>
    </row>
    <row r="88" spans="1:4">
      <c r="A88" t="s">
        <v>13</v>
      </c>
      <c r="B88" t="s">
        <v>130</v>
      </c>
      <c r="C88">
        <v>24.1</v>
      </c>
      <c r="D88" s="26">
        <v>0.41899999999999998</v>
      </c>
    </row>
    <row r="89" spans="1:4">
      <c r="A89" t="s">
        <v>13</v>
      </c>
      <c r="B89" t="s">
        <v>131</v>
      </c>
      <c r="C89">
        <v>22.6</v>
      </c>
      <c r="D89" s="26">
        <v>0.32</v>
      </c>
    </row>
    <row r="90" spans="1:4">
      <c r="A90" t="s">
        <v>13</v>
      </c>
      <c r="B90" t="s">
        <v>132</v>
      </c>
      <c r="C90">
        <v>43.3</v>
      </c>
      <c r="D90" s="26">
        <v>0.11600000000000001</v>
      </c>
    </row>
    <row r="91" spans="1:4">
      <c r="A91" t="s">
        <v>13</v>
      </c>
      <c r="B91" t="s">
        <v>133</v>
      </c>
      <c r="C91">
        <v>72.099999999999994</v>
      </c>
      <c r="D91" s="26">
        <v>0.108</v>
      </c>
    </row>
    <row r="92" spans="1:4">
      <c r="A92" t="s">
        <v>13</v>
      </c>
      <c r="B92" t="s">
        <v>134</v>
      </c>
      <c r="C92">
        <v>48</v>
      </c>
      <c r="D92" s="26">
        <v>0.121</v>
      </c>
    </row>
    <row r="93" spans="1:4">
      <c r="A93" t="s">
        <v>13</v>
      </c>
      <c r="B93" t="s">
        <v>135</v>
      </c>
      <c r="C93">
        <v>53.4</v>
      </c>
      <c r="D93" s="26">
        <v>6.3E-2</v>
      </c>
    </row>
    <row r="94" spans="1:4">
      <c r="A94" t="s">
        <v>3</v>
      </c>
      <c r="B94" t="s">
        <v>183</v>
      </c>
      <c r="C94">
        <v>44.6</v>
      </c>
      <c r="D94" s="26">
        <v>0.13100000000000001</v>
      </c>
    </row>
    <row r="95" spans="1:4">
      <c r="A95" t="s">
        <v>3</v>
      </c>
      <c r="B95" t="s">
        <v>184</v>
      </c>
      <c r="C95">
        <v>42.8</v>
      </c>
      <c r="D95" s="26">
        <v>0.14699999999999999</v>
      </c>
    </row>
    <row r="96" spans="1:4">
      <c r="A96" t="s">
        <v>3</v>
      </c>
      <c r="B96" t="s">
        <v>187</v>
      </c>
      <c r="C96">
        <v>34</v>
      </c>
      <c r="D96" s="26">
        <v>0.03</v>
      </c>
    </row>
    <row r="97" spans="1:4">
      <c r="A97" t="s">
        <v>3</v>
      </c>
      <c r="B97" t="s">
        <v>186</v>
      </c>
      <c r="C97">
        <v>31.2</v>
      </c>
      <c r="D97" s="26">
        <v>3.2000000000000001E-2</v>
      </c>
    </row>
    <row r="98" spans="1:4">
      <c r="A98" t="s">
        <v>3</v>
      </c>
      <c r="B98" t="s">
        <v>185</v>
      </c>
      <c r="C98">
        <v>29.6</v>
      </c>
      <c r="D98" s="26">
        <v>2.4E-2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313C-955B-D748-831E-47304B97DF12}">
  <dimension ref="A1:B7"/>
  <sheetViews>
    <sheetView zoomScale="136" workbookViewId="0">
      <selection activeCell="C9" sqref="C9"/>
    </sheetView>
  </sheetViews>
  <sheetFormatPr baseColWidth="10" defaultRowHeight="16"/>
  <sheetData>
    <row r="1" spans="1:2">
      <c r="A1" s="23" t="s">
        <v>180</v>
      </c>
      <c r="B1" s="23" t="s">
        <v>181</v>
      </c>
    </row>
    <row r="2" spans="1:2">
      <c r="A2" t="s">
        <v>130</v>
      </c>
      <c r="B2" s="23">
        <v>301.23</v>
      </c>
    </row>
    <row r="3" spans="1:2">
      <c r="A3" t="s">
        <v>131</v>
      </c>
      <c r="B3" s="23">
        <v>523.66999999999996</v>
      </c>
    </row>
    <row r="4" spans="1:2">
      <c r="A4" t="s">
        <v>182</v>
      </c>
      <c r="B4" s="23">
        <v>1051.96</v>
      </c>
    </row>
    <row r="5" spans="1:2">
      <c r="A5" t="s">
        <v>133</v>
      </c>
      <c r="B5" s="23">
        <v>1023.32</v>
      </c>
    </row>
    <row r="6" spans="1:2">
      <c r="A6" t="s">
        <v>134</v>
      </c>
      <c r="B6" s="23">
        <v>576</v>
      </c>
    </row>
    <row r="7" spans="1:2">
      <c r="A7" t="s">
        <v>135</v>
      </c>
      <c r="B7" s="23">
        <v>446.74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B316-5FC2-C74A-8017-9933AB88396C}">
  <dimension ref="A1:I56"/>
  <sheetViews>
    <sheetView zoomScale="133" workbookViewId="0">
      <selection activeCell="J21" sqref="J21"/>
    </sheetView>
  </sheetViews>
  <sheetFormatPr baseColWidth="10" defaultRowHeight="16"/>
  <sheetData>
    <row r="1" spans="1:9" s="28" customFormat="1">
      <c r="A1" s="30" t="s">
        <v>306</v>
      </c>
      <c r="B1" s="30" t="s">
        <v>242</v>
      </c>
      <c r="C1" s="30" t="s">
        <v>231</v>
      </c>
      <c r="D1" s="30" t="s">
        <v>243</v>
      </c>
      <c r="E1" s="30" t="s">
        <v>307</v>
      </c>
      <c r="I1" s="23"/>
    </row>
    <row r="2" spans="1:9" s="28" customFormat="1">
      <c r="A2" s="29">
        <v>1</v>
      </c>
      <c r="B2" s="28" t="s">
        <v>265</v>
      </c>
      <c r="C2" s="28" t="s">
        <v>244</v>
      </c>
      <c r="D2" s="28" t="s">
        <v>270</v>
      </c>
      <c r="E2" s="28">
        <v>4</v>
      </c>
      <c r="I2"/>
    </row>
    <row r="3" spans="1:9">
      <c r="A3" s="29">
        <v>2</v>
      </c>
      <c r="B3" t="s">
        <v>265</v>
      </c>
      <c r="C3" t="s">
        <v>244</v>
      </c>
      <c r="D3" t="s">
        <v>270</v>
      </c>
      <c r="E3">
        <v>4</v>
      </c>
      <c r="I3" s="23"/>
    </row>
    <row r="4" spans="1:9">
      <c r="A4" s="29">
        <v>14</v>
      </c>
      <c r="B4" t="s">
        <v>265</v>
      </c>
      <c r="C4" t="s">
        <v>245</v>
      </c>
      <c r="D4" t="s">
        <v>245</v>
      </c>
      <c r="E4">
        <v>4</v>
      </c>
    </row>
    <row r="5" spans="1:9">
      <c r="A5" s="29">
        <v>17</v>
      </c>
      <c r="B5" t="s">
        <v>266</v>
      </c>
      <c r="C5" t="s">
        <v>246</v>
      </c>
      <c r="D5" t="s">
        <v>246</v>
      </c>
      <c r="E5">
        <v>1</v>
      </c>
      <c r="I5" s="23"/>
    </row>
    <row r="6" spans="1:9">
      <c r="A6" s="29">
        <v>18</v>
      </c>
      <c r="B6" t="s">
        <v>247</v>
      </c>
      <c r="C6" t="s">
        <v>247</v>
      </c>
      <c r="D6" t="s">
        <v>247</v>
      </c>
      <c r="E6">
        <v>1</v>
      </c>
    </row>
    <row r="7" spans="1:9">
      <c r="A7" s="29">
        <v>22</v>
      </c>
      <c r="B7" t="s">
        <v>265</v>
      </c>
      <c r="C7" t="s">
        <v>235</v>
      </c>
      <c r="D7" t="s">
        <v>271</v>
      </c>
      <c r="E7">
        <v>5</v>
      </c>
      <c r="I7" s="23"/>
    </row>
    <row r="8" spans="1:9">
      <c r="A8" s="29">
        <v>26</v>
      </c>
      <c r="B8" t="s">
        <v>234</v>
      </c>
      <c r="C8" t="s">
        <v>248</v>
      </c>
      <c r="D8" t="s">
        <v>272</v>
      </c>
      <c r="E8">
        <v>5</v>
      </c>
    </row>
    <row r="9" spans="1:9">
      <c r="A9" s="29">
        <v>27</v>
      </c>
      <c r="B9" t="s">
        <v>236</v>
      </c>
      <c r="C9" t="s">
        <v>232</v>
      </c>
      <c r="D9" t="s">
        <v>232</v>
      </c>
      <c r="E9">
        <v>5</v>
      </c>
      <c r="I9" s="23"/>
    </row>
    <row r="10" spans="1:9">
      <c r="A10" s="29">
        <v>31</v>
      </c>
      <c r="B10" t="s">
        <v>267</v>
      </c>
      <c r="C10" t="s">
        <v>249</v>
      </c>
      <c r="D10" t="s">
        <v>273</v>
      </c>
      <c r="E10">
        <v>3</v>
      </c>
    </row>
    <row r="11" spans="1:9">
      <c r="A11" s="29">
        <v>35</v>
      </c>
      <c r="B11" t="s">
        <v>234</v>
      </c>
      <c r="C11" t="s">
        <v>250</v>
      </c>
      <c r="D11" t="s">
        <v>274</v>
      </c>
      <c r="E11">
        <v>3</v>
      </c>
    </row>
    <row r="12" spans="1:9">
      <c r="A12" s="29">
        <v>38</v>
      </c>
      <c r="B12" t="s">
        <v>234</v>
      </c>
      <c r="C12" t="s">
        <v>251</v>
      </c>
      <c r="D12" t="s">
        <v>275</v>
      </c>
      <c r="E12">
        <v>3</v>
      </c>
    </row>
    <row r="13" spans="1:9">
      <c r="A13" s="29">
        <v>41</v>
      </c>
      <c r="B13" t="s">
        <v>267</v>
      </c>
      <c r="C13" t="s">
        <v>249</v>
      </c>
      <c r="D13" t="s">
        <v>249</v>
      </c>
      <c r="E13">
        <v>3</v>
      </c>
    </row>
    <row r="14" spans="1:9">
      <c r="A14" s="29">
        <v>42</v>
      </c>
      <c r="B14" t="s">
        <v>236</v>
      </c>
      <c r="C14" t="s">
        <v>232</v>
      </c>
      <c r="D14" t="s">
        <v>276</v>
      </c>
      <c r="E14">
        <v>5</v>
      </c>
    </row>
    <row r="15" spans="1:9">
      <c r="A15" s="29">
        <v>44</v>
      </c>
      <c r="B15" t="s">
        <v>241</v>
      </c>
      <c r="C15" t="s">
        <v>233</v>
      </c>
      <c r="D15" t="s">
        <v>233</v>
      </c>
      <c r="E15">
        <v>5</v>
      </c>
    </row>
    <row r="16" spans="1:9">
      <c r="A16" s="29">
        <v>47</v>
      </c>
      <c r="B16" t="s">
        <v>234</v>
      </c>
      <c r="C16" t="s">
        <v>251</v>
      </c>
      <c r="D16" t="s">
        <v>251</v>
      </c>
      <c r="E16">
        <v>3</v>
      </c>
    </row>
    <row r="17" spans="1:5">
      <c r="A17" s="29">
        <v>48</v>
      </c>
      <c r="B17" t="s">
        <v>265</v>
      </c>
      <c r="C17" t="s">
        <v>235</v>
      </c>
      <c r="D17" t="s">
        <v>277</v>
      </c>
      <c r="E17">
        <v>5</v>
      </c>
    </row>
    <row r="18" spans="1:5">
      <c r="A18" s="29">
        <v>49</v>
      </c>
      <c r="B18" t="s">
        <v>265</v>
      </c>
      <c r="C18" t="s">
        <v>252</v>
      </c>
      <c r="D18" t="s">
        <v>252</v>
      </c>
      <c r="E18">
        <v>4</v>
      </c>
    </row>
    <row r="19" spans="1:5">
      <c r="A19" s="29">
        <v>50</v>
      </c>
      <c r="B19" t="s">
        <v>238</v>
      </c>
      <c r="C19" t="s">
        <v>237</v>
      </c>
      <c r="D19" t="s">
        <v>278</v>
      </c>
      <c r="E19">
        <v>4</v>
      </c>
    </row>
    <row r="20" spans="1:5">
      <c r="A20" s="29">
        <v>52</v>
      </c>
      <c r="B20" t="s">
        <v>268</v>
      </c>
      <c r="C20" t="s">
        <v>253</v>
      </c>
      <c r="D20" t="s">
        <v>279</v>
      </c>
      <c r="E20">
        <v>3</v>
      </c>
    </row>
    <row r="21" spans="1:5">
      <c r="A21" s="29">
        <v>53</v>
      </c>
      <c r="B21" t="s">
        <v>234</v>
      </c>
      <c r="C21" t="s">
        <v>254</v>
      </c>
      <c r="D21" t="s">
        <v>280</v>
      </c>
      <c r="E21">
        <v>4</v>
      </c>
    </row>
    <row r="22" spans="1:5">
      <c r="A22" s="29">
        <v>55</v>
      </c>
      <c r="B22" t="s">
        <v>241</v>
      </c>
      <c r="C22" t="s">
        <v>233</v>
      </c>
      <c r="D22" t="s">
        <v>281</v>
      </c>
      <c r="E22">
        <v>2</v>
      </c>
    </row>
    <row r="23" spans="1:5">
      <c r="A23" s="29">
        <v>58</v>
      </c>
      <c r="B23" t="s">
        <v>265</v>
      </c>
      <c r="C23" t="s">
        <v>235</v>
      </c>
      <c r="D23" t="s">
        <v>277</v>
      </c>
      <c r="E23">
        <v>5</v>
      </c>
    </row>
    <row r="24" spans="1:5">
      <c r="A24" s="29">
        <v>62</v>
      </c>
      <c r="B24" t="s">
        <v>255</v>
      </c>
      <c r="C24" t="s">
        <v>255</v>
      </c>
      <c r="D24" t="s">
        <v>255</v>
      </c>
      <c r="E24">
        <v>1</v>
      </c>
    </row>
    <row r="25" spans="1:5">
      <c r="A25" s="29">
        <v>63</v>
      </c>
      <c r="B25" t="s">
        <v>265</v>
      </c>
      <c r="C25" t="s">
        <v>244</v>
      </c>
      <c r="D25" t="s">
        <v>282</v>
      </c>
      <c r="E25">
        <v>4</v>
      </c>
    </row>
    <row r="26" spans="1:5">
      <c r="A26" s="29">
        <v>64</v>
      </c>
      <c r="B26" t="s">
        <v>241</v>
      </c>
      <c r="C26" t="s">
        <v>233</v>
      </c>
      <c r="D26" t="s">
        <v>283</v>
      </c>
      <c r="E26">
        <v>2</v>
      </c>
    </row>
    <row r="27" spans="1:5">
      <c r="A27" s="29">
        <v>65</v>
      </c>
      <c r="B27" t="s">
        <v>241</v>
      </c>
      <c r="C27" t="s">
        <v>233</v>
      </c>
      <c r="D27" t="s">
        <v>284</v>
      </c>
      <c r="E27">
        <v>2</v>
      </c>
    </row>
    <row r="28" spans="1:5">
      <c r="A28" s="29">
        <v>68</v>
      </c>
      <c r="B28" t="s">
        <v>238</v>
      </c>
      <c r="C28" t="s">
        <v>237</v>
      </c>
      <c r="D28" t="s">
        <v>237</v>
      </c>
      <c r="E28">
        <v>4</v>
      </c>
    </row>
    <row r="29" spans="1:5">
      <c r="A29" s="29">
        <v>71</v>
      </c>
      <c r="B29" t="s">
        <v>234</v>
      </c>
      <c r="C29" t="s">
        <v>250</v>
      </c>
      <c r="D29" t="s">
        <v>285</v>
      </c>
      <c r="E29">
        <v>3</v>
      </c>
    </row>
    <row r="30" spans="1:5">
      <c r="A30" s="29">
        <v>72</v>
      </c>
      <c r="B30" t="s">
        <v>236</v>
      </c>
      <c r="C30" t="s">
        <v>232</v>
      </c>
      <c r="D30" t="s">
        <v>286</v>
      </c>
      <c r="E30">
        <v>5</v>
      </c>
    </row>
    <row r="31" spans="1:5">
      <c r="A31" s="29">
        <v>73</v>
      </c>
      <c r="B31" t="s">
        <v>238</v>
      </c>
      <c r="C31" t="s">
        <v>237</v>
      </c>
      <c r="D31" t="s">
        <v>287</v>
      </c>
      <c r="E31">
        <v>4</v>
      </c>
    </row>
    <row r="32" spans="1:5">
      <c r="A32" s="29">
        <v>74</v>
      </c>
      <c r="B32" t="s">
        <v>238</v>
      </c>
      <c r="C32" t="s">
        <v>237</v>
      </c>
      <c r="D32" t="s">
        <v>288</v>
      </c>
      <c r="E32">
        <v>4</v>
      </c>
    </row>
    <row r="33" spans="1:5">
      <c r="A33" s="29">
        <v>77</v>
      </c>
      <c r="B33" t="s">
        <v>234</v>
      </c>
      <c r="C33" t="s">
        <v>250</v>
      </c>
      <c r="D33" t="s">
        <v>289</v>
      </c>
      <c r="E33">
        <v>2</v>
      </c>
    </row>
    <row r="34" spans="1:5">
      <c r="A34" s="29">
        <v>78</v>
      </c>
      <c r="B34" t="s">
        <v>238</v>
      </c>
      <c r="C34" t="s">
        <v>256</v>
      </c>
      <c r="D34" t="s">
        <v>256</v>
      </c>
      <c r="E34">
        <v>2</v>
      </c>
    </row>
    <row r="35" spans="1:5">
      <c r="A35" s="29">
        <v>80</v>
      </c>
      <c r="B35" t="s">
        <v>241</v>
      </c>
      <c r="C35" t="s">
        <v>233</v>
      </c>
      <c r="D35" t="s">
        <v>290</v>
      </c>
      <c r="E35">
        <v>2</v>
      </c>
    </row>
    <row r="36" spans="1:5">
      <c r="A36" s="29">
        <v>82</v>
      </c>
      <c r="B36" t="s">
        <v>241</v>
      </c>
      <c r="C36" t="s">
        <v>233</v>
      </c>
      <c r="D36" t="s">
        <v>291</v>
      </c>
      <c r="E36">
        <v>5</v>
      </c>
    </row>
    <row r="37" spans="1:5">
      <c r="A37" s="29">
        <v>84</v>
      </c>
      <c r="B37" t="s">
        <v>257</v>
      </c>
      <c r="C37" t="s">
        <v>257</v>
      </c>
      <c r="D37" t="s">
        <v>257</v>
      </c>
      <c r="E37">
        <v>1</v>
      </c>
    </row>
    <row r="38" spans="1:5">
      <c r="A38" s="29">
        <v>85</v>
      </c>
      <c r="B38" t="s">
        <v>258</v>
      </c>
      <c r="C38" t="s">
        <v>258</v>
      </c>
      <c r="D38" t="s">
        <v>258</v>
      </c>
      <c r="E38">
        <v>1</v>
      </c>
    </row>
    <row r="39" spans="1:5">
      <c r="A39" s="29">
        <v>90</v>
      </c>
      <c r="B39" t="s">
        <v>241</v>
      </c>
      <c r="C39" t="s">
        <v>233</v>
      </c>
      <c r="D39" t="s">
        <v>292</v>
      </c>
      <c r="E39">
        <v>5</v>
      </c>
    </row>
    <row r="40" spans="1:5">
      <c r="A40" s="29">
        <v>92</v>
      </c>
      <c r="B40" t="s">
        <v>265</v>
      </c>
      <c r="C40" t="s">
        <v>252</v>
      </c>
      <c r="D40" t="s">
        <v>293</v>
      </c>
      <c r="E40">
        <v>4</v>
      </c>
    </row>
    <row r="41" spans="1:5">
      <c r="A41" s="29">
        <v>94</v>
      </c>
      <c r="B41" t="s">
        <v>239</v>
      </c>
      <c r="C41" t="s">
        <v>240</v>
      </c>
      <c r="D41" t="s">
        <v>240</v>
      </c>
      <c r="E41">
        <v>2</v>
      </c>
    </row>
    <row r="42" spans="1:5">
      <c r="A42" s="29">
        <v>96</v>
      </c>
      <c r="B42" t="s">
        <v>234</v>
      </c>
      <c r="C42" t="s">
        <v>259</v>
      </c>
      <c r="D42" t="s">
        <v>294</v>
      </c>
      <c r="E42">
        <v>4</v>
      </c>
    </row>
    <row r="43" spans="1:5">
      <c r="A43" s="29">
        <v>97</v>
      </c>
      <c r="B43" t="s">
        <v>234</v>
      </c>
      <c r="C43" t="s">
        <v>260</v>
      </c>
      <c r="D43" t="s">
        <v>295</v>
      </c>
      <c r="E43">
        <v>2</v>
      </c>
    </row>
    <row r="44" spans="1:5">
      <c r="A44" s="29">
        <v>98</v>
      </c>
      <c r="B44" t="s">
        <v>236</v>
      </c>
      <c r="C44" t="s">
        <v>232</v>
      </c>
      <c r="D44" t="s">
        <v>296</v>
      </c>
      <c r="E44">
        <v>5</v>
      </c>
    </row>
    <row r="45" spans="1:5">
      <c r="A45" s="29">
        <v>102</v>
      </c>
      <c r="B45" t="s">
        <v>241</v>
      </c>
      <c r="C45" t="s">
        <v>233</v>
      </c>
      <c r="D45" t="s">
        <v>297</v>
      </c>
      <c r="E45">
        <v>2</v>
      </c>
    </row>
    <row r="46" spans="1:5">
      <c r="A46" s="29">
        <v>103</v>
      </c>
      <c r="B46" t="s">
        <v>261</v>
      </c>
      <c r="C46" t="s">
        <v>261</v>
      </c>
      <c r="D46" t="s">
        <v>261</v>
      </c>
      <c r="E46">
        <v>1</v>
      </c>
    </row>
    <row r="47" spans="1:5">
      <c r="A47" s="29">
        <v>106</v>
      </c>
      <c r="B47" t="s">
        <v>234</v>
      </c>
      <c r="C47" t="s">
        <v>262</v>
      </c>
      <c r="D47" t="s">
        <v>262</v>
      </c>
      <c r="E47">
        <v>3</v>
      </c>
    </row>
    <row r="48" spans="1:5">
      <c r="A48" s="29">
        <v>112</v>
      </c>
      <c r="B48" t="s">
        <v>239</v>
      </c>
      <c r="C48" t="s">
        <v>240</v>
      </c>
      <c r="D48" t="s">
        <v>298</v>
      </c>
      <c r="E48">
        <v>2</v>
      </c>
    </row>
    <row r="49" spans="1:5">
      <c r="A49" s="29">
        <v>113</v>
      </c>
      <c r="B49" t="s">
        <v>265</v>
      </c>
      <c r="C49" t="s">
        <v>244</v>
      </c>
      <c r="D49" t="s">
        <v>299</v>
      </c>
      <c r="E49">
        <v>3</v>
      </c>
    </row>
    <row r="50" spans="1:5">
      <c r="A50" s="29">
        <v>135</v>
      </c>
      <c r="B50" t="s">
        <v>269</v>
      </c>
      <c r="C50" t="s">
        <v>263</v>
      </c>
      <c r="D50" t="s">
        <v>300</v>
      </c>
      <c r="E50">
        <v>4</v>
      </c>
    </row>
    <row r="51" spans="1:5">
      <c r="A51" s="29">
        <v>144</v>
      </c>
      <c r="B51" t="s">
        <v>236</v>
      </c>
      <c r="C51" t="s">
        <v>232</v>
      </c>
      <c r="D51" t="s">
        <v>301</v>
      </c>
      <c r="E51">
        <v>2</v>
      </c>
    </row>
    <row r="52" spans="1:5">
      <c r="A52" s="29">
        <v>156</v>
      </c>
      <c r="B52" t="s">
        <v>234</v>
      </c>
      <c r="C52" t="s">
        <v>260</v>
      </c>
      <c r="D52" t="s">
        <v>302</v>
      </c>
      <c r="E52">
        <v>3</v>
      </c>
    </row>
    <row r="53" spans="1:5">
      <c r="A53" s="29">
        <v>184</v>
      </c>
      <c r="B53" t="s">
        <v>265</v>
      </c>
      <c r="C53" t="s">
        <v>245</v>
      </c>
      <c r="D53" t="s">
        <v>303</v>
      </c>
      <c r="E53">
        <v>4</v>
      </c>
    </row>
    <row r="54" spans="1:5">
      <c r="A54" s="29">
        <v>185</v>
      </c>
      <c r="B54" t="s">
        <v>267</v>
      </c>
      <c r="C54" t="s">
        <v>249</v>
      </c>
      <c r="D54" t="s">
        <v>304</v>
      </c>
      <c r="E54">
        <v>3</v>
      </c>
    </row>
    <row r="55" spans="1:5">
      <c r="A55" s="29">
        <v>189</v>
      </c>
      <c r="B55" t="s">
        <v>236</v>
      </c>
      <c r="C55" t="s">
        <v>264</v>
      </c>
      <c r="D55" t="s">
        <v>264</v>
      </c>
      <c r="E55">
        <v>3</v>
      </c>
    </row>
    <row r="56" spans="1:5">
      <c r="A56" s="29">
        <v>191</v>
      </c>
      <c r="B56" t="s">
        <v>236</v>
      </c>
      <c r="C56" t="s">
        <v>232</v>
      </c>
      <c r="D56" t="s">
        <v>305</v>
      </c>
      <c r="E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Sheet1</vt:lpstr>
      <vt:lpstr>Sheet2</vt:lpstr>
      <vt:lpstr>Sheet3</vt:lpstr>
      <vt:lpstr>reported</vt:lpstr>
      <vt:lpstr>officer</vt:lpstr>
      <vt:lpstr>officer_2</vt:lpstr>
      <vt:lpstr>Sheet5</vt:lpstr>
      <vt:lpstr>词频</vt:lpstr>
      <vt:lpstr>Sheet7</vt:lpstr>
      <vt:lpstr>Core Urban_ddjustedbyurbanland</vt:lpstr>
      <vt:lpstr>Core Urban</vt:lpstr>
      <vt:lpstr>建成度</vt:lpstr>
      <vt:lpstr>Sheet9</vt:lpstr>
      <vt:lpstr>soil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2025-12-01T08:42:21Z</dcterms:modified>
</cp:coreProperties>
</file>